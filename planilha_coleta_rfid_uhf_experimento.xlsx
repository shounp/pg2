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PLANO_DO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iguracao" sheetId="4" state="visible" r:id="rId4"/>
    <sheet xmlns:r="http://schemas.openxmlformats.org/officeDocument/2006/relationships" name="Tags" sheetId="5" state="visible" r:id="rId5"/>
    <sheet xmlns:r="http://schemas.openxmlformats.org/officeDocument/2006/relationships" name="Alcance" sheetId="6" state="visible" r:id="rId6"/>
    <sheet xmlns:r="http://schemas.openxmlformats.org/officeDocument/2006/relationships" name="Orientacao" sheetId="7" state="visible" r:id="rId7"/>
    <sheet xmlns:r="http://schemas.openxmlformats.org/officeDocument/2006/relationships" name="Material" sheetId="8" state="visible" r:id="rId8"/>
    <sheet xmlns:r="http://schemas.openxmlformats.org/officeDocument/2006/relationships" name="Inventario" sheetId="9" state="visible" r:id="rId9"/>
    <sheet xmlns:r="http://schemas.openxmlformats.org/officeDocument/2006/relationships" name="Log_Serial_Opcional" sheetId="10" state="visible" r:id="rId10"/>
  </sheets>
  <definedNames>
    <definedName name="_xlnm._FilterDatabase" localSheetId="2" hidden="1">'Resumo'!$A$2:$G$13</definedName>
    <definedName name="_xlnm._FilterDatabase" localSheetId="3" hidden="1">'Configuracao'!$A$1:$C$21</definedName>
    <definedName name="_xlnm._FilterDatabase" localSheetId="4" hidden="1">'Tags'!$A$1:$F$6</definedName>
    <definedName name="_xlnm._FilterDatabase" localSheetId="5" hidden="1">'Alcance'!$A$1:$M$61</definedName>
    <definedName name="_xlnm._FilterDatabase" localSheetId="6" hidden="1">'Orientacao'!$A$1:$M$46</definedName>
    <definedName name="_xlnm._FilterDatabase" localSheetId="7" hidden="1">'Material'!$A$1:$N$16</definedName>
    <definedName name="_xlnm._FilterDatabase" localSheetId="8" hidden="1">'Inventario'!$A$1:$J$6</definedName>
    <definedName name="_xlnm._FilterDatabase" localSheetId="9" hidden="1">'Log_Serial_Opcional'!$A$1:$H$201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 m&quot;"/>
    <numFmt numFmtId="165" formatCode="0&quot;°&quot;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0" borderId="0" pivotButton="0" quotePrefix="0" xfId="0"/>
    <xf numFmtId="0" fontId="0" fillId="5" borderId="0" pivotButton="0" quotePrefix="0" xfId="0"/>
    <xf numFmtId="166" fontId="0" fillId="5" borderId="0" pivotButton="0" quotePrefix="0" xfId="0"/>
    <xf numFmtId="165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8" customHeight="1">
      <c r="A1" s="1" t="inlineStr">
        <is>
          <t>PROTOCOLO EXPERIMENTAL MÍNIMO — PREENCHIMENTO OBRIGATÓRIO</t>
        </is>
      </c>
    </row>
    <row r="2" ht="34" customHeight="1">
      <c r="A2" s="2" t="inlineStr">
        <is>
          <t>Campo</t>
        </is>
      </c>
      <c r="B2" s="2" t="inlineStr">
        <is>
          <t>Instrução</t>
        </is>
      </c>
    </row>
    <row r="3" ht="32" customHeight="1">
      <c r="A3" s="3" t="inlineStr">
        <is>
          <t>Natureza</t>
        </is>
      </c>
      <c r="B3" s="4" t="inlineStr">
        <is>
          <t>Planilha vazia para coleta física real. Nenhum resultado foi pré-preenchido.</t>
        </is>
      </c>
    </row>
    <row r="4" ht="32" customHeight="1">
      <c r="A4" s="3" t="inlineStr">
        <is>
          <t>Tempo total</t>
        </is>
      </c>
      <c r="B4" s="4" t="inlineStr">
        <is>
          <t>Planejada para aproximadamente 50–70 minutos, incluindo montagem, fotos e conferência.</t>
        </is>
      </c>
    </row>
    <row r="5" ht="32" customHeight="1">
      <c r="A5" s="3" t="inlineStr">
        <is>
          <t>Prioridade</t>
        </is>
      </c>
      <c r="B5" s="4" t="inlineStr">
        <is>
          <t>Execute nesta ordem: Configuração/fotos, Alcance, Orientação, Material e Inventário.</t>
        </is>
      </c>
    </row>
    <row r="6" ht="32" customHeight="1">
      <c r="A6" s="3" t="inlineStr">
        <is>
          <t>Tentativa</t>
        </is>
      </c>
      <c r="B6" s="4" t="inlineStr">
        <is>
          <t>Uma janela de 3 s. Retire a tag do campo por cerca de 2 s antes de cada nova tentativa.</t>
        </is>
      </c>
    </row>
    <row r="7" ht="32" customHeight="1">
      <c r="A7" s="3" t="inlineStr">
        <is>
          <t>Sucesso</t>
        </is>
      </c>
      <c r="B7" s="4" t="inlineStr">
        <is>
          <t>Preencha 1 somente se o EPC esperado aparecer ao menos uma vez durante a janela; caso contrário, 0.</t>
        </is>
      </c>
    </row>
    <row r="8" ht="32" customHeight="1">
      <c r="A8" s="3" t="inlineStr">
        <is>
          <t>Não inventar</t>
        </is>
      </c>
      <c r="B8" s="4" t="inlineStr">
        <is>
          <t>Não complete células esquecidas posteriormente por estimativa. Deixe em branco e explique em observações.</t>
        </is>
      </c>
    </row>
    <row r="9" ht="32" customHeight="1">
      <c r="A9" s="3" t="inlineStr">
        <is>
          <t>RSSI</t>
        </is>
      </c>
      <c r="B9" s="4" t="inlineStr">
        <is>
          <t>Não é obrigatório. Só registre se o firmware fornecer RSSI bruto ou uma conversão documentada.</t>
        </is>
      </c>
    </row>
    <row r="10" ht="32" customHeight="1">
      <c r="A10" s="3" t="inlineStr">
        <is>
          <t>Cor amarela</t>
        </is>
      </c>
      <c r="B10" s="4" t="inlineStr">
        <is>
          <t>Campo que deve ser preenchido durante ou imediatamente após a coleta.</t>
        </is>
      </c>
    </row>
    <row r="11" ht="32" customHeight="1">
      <c r="A11" s="3" t="inlineStr">
        <is>
          <t>Cor azul</t>
        </is>
      </c>
      <c r="B11" s="4" t="inlineStr">
        <is>
          <t>Célula calculada automaticamente; não digitar por cima.</t>
        </is>
      </c>
    </row>
    <row r="12" ht="32" customHeight="1">
      <c r="A12" s="3" t="inlineStr">
        <is>
          <t>Tags</t>
        </is>
      </c>
      <c r="B12" s="4" t="inlineStr">
        <is>
          <t>Cadastre cinco tags. TAG1, TAG2 e TAG3 são usadas nos testes controlados; as cinco entram no inventário.</t>
        </is>
      </c>
    </row>
    <row r="13" ht="32" customHeight="1">
      <c r="A13" s="3" t="inlineStr">
        <is>
          <t>Alcance</t>
        </is>
      </c>
      <c r="B13" s="4" t="inlineStr">
        <is>
          <t>4 distâncias × 3 tags × 5 tentativas = 60 janelas de 3 s.</t>
        </is>
      </c>
    </row>
    <row r="14" ht="32" customHeight="1">
      <c r="A14" s="3" t="inlineStr">
        <is>
          <t>Orientação</t>
        </is>
      </c>
      <c r="B14" s="4" t="inlineStr">
        <is>
          <t>3 ângulos × 3 tags × 5 tentativas = 45 janelas de 3 s, sempre a 1,5 m.</t>
        </is>
      </c>
    </row>
    <row r="15" ht="32" customHeight="1">
      <c r="A15" s="3" t="inlineStr">
        <is>
          <t>Material</t>
        </is>
      </c>
      <c r="B15" s="4" t="inlineStr">
        <is>
          <t>3 suportes × 5 tentativas = 15 janelas de 3 s, usando sempre TAG1.</t>
        </is>
      </c>
    </row>
    <row r="16" ht="32" customHeight="1">
      <c r="A16" s="3" t="inlineStr">
        <is>
          <t>Inventário</t>
        </is>
      </c>
      <c r="B16" s="4" t="inlineStr">
        <is>
          <t>5 janelas de 10 s com cinco tags e o mesmo percurso curto.</t>
        </is>
      </c>
    </row>
    <row r="17" ht="32" customHeight="1">
      <c r="A17" s="3" t="inlineStr">
        <is>
          <t>Passagem</t>
        </is>
      </c>
      <c r="B17" s="4" t="inlineStr">
        <is>
          <t>Foi retirada do protocolo para reduzir tempo e preservar a qualidade dos quatro ensaios centrais.</t>
        </is>
      </c>
    </row>
    <row r="18" ht="32" customHeight="1">
      <c r="A18" s="3" t="inlineStr">
        <is>
          <t>Backup</t>
        </is>
      </c>
      <c r="B18" s="4" t="inlineStr">
        <is>
          <t>Ao terminar, salve uma cópia com data/hora e preserve fotografias e qualquer log serial.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6" customWidth="1" min="3" max="3"/>
    <col width="55" customWidth="1" min="4" max="4"/>
    <col width="16" customWidth="1" min="5" max="5"/>
  </cols>
  <sheetData>
    <row r="1" ht="28" customHeight="1">
      <c r="A1" s="1" t="inlineStr">
        <is>
          <t>ROTEIRO RÁPIDO DE EXECUÇÃO</t>
        </is>
      </c>
    </row>
    <row r="2" ht="34" customHeight="1">
      <c r="A2" s="2" t="inlineStr">
        <is>
          <t>Etapa</t>
        </is>
      </c>
      <c r="B2" s="2" t="inlineStr">
        <is>
          <t>Tempo</t>
        </is>
      </c>
      <c r="C2" s="2" t="inlineStr">
        <is>
          <t>O que fazer</t>
        </is>
      </c>
      <c r="D2" s="2" t="inlineStr">
        <is>
          <t>Critério para avançar</t>
        </is>
      </c>
      <c r="E2" s="2" t="inlineStr">
        <is>
          <t>Concluído (X)</t>
        </is>
      </c>
    </row>
    <row r="3" ht="48" customHeight="1">
      <c r="A3" s="4" t="n">
        <v>1</v>
      </c>
      <c r="B3" s="4" t="inlineStr">
        <is>
          <t>10 min</t>
        </is>
      </c>
      <c r="C3" s="4" t="inlineStr">
        <is>
          <t>Montar, conferir GND/fonte, abrir serial, cadastrar 5 EPCs e tirar fotos.</t>
        </is>
      </c>
      <c r="D3" s="4" t="inlineStr">
        <is>
          <t>Leitura de TAG1 confirmada e configuração preenchida.</t>
        </is>
      </c>
      <c r="E3" s="5" t="n"/>
    </row>
    <row r="4" ht="48" customHeight="1">
      <c r="A4" s="4" t="n">
        <v>2</v>
      </c>
      <c r="B4" s="4" t="inlineStr">
        <is>
          <t>20 min</t>
        </is>
      </c>
      <c r="C4" s="4" t="inlineStr">
        <is>
          <t>Executar as 60 janelas da aba Alcance, agrupadas por distância.</t>
        </is>
      </c>
      <c r="D4" s="4" t="inlineStr">
        <is>
          <t>Todas as células amarelas de detectou_0_1 preenchidas.</t>
        </is>
      </c>
      <c r="E4" s="5" t="n"/>
    </row>
    <row r="5" ht="48" customHeight="1">
      <c r="A5" s="4" t="n">
        <v>3</v>
      </c>
      <c r="B5" s="4" t="inlineStr">
        <is>
          <t>12 min</t>
        </is>
      </c>
      <c r="C5" s="4" t="inlineStr">
        <is>
          <t>Executar as 45 janelas da aba Orientacao em 0°, 45° e 90°.</t>
        </is>
      </c>
      <c r="D5" s="4" t="inlineStr">
        <is>
          <t>Ângulos fotografados ou marcados e resultados preenchidos.</t>
        </is>
      </c>
      <c r="E5" s="5" t="n"/>
    </row>
    <row r="6" ht="48" customHeight="1">
      <c r="A6" s="4" t="n">
        <v>4</v>
      </c>
      <c r="B6" s="4" t="inlineStr">
        <is>
          <t>8 min</t>
        </is>
      </c>
      <c r="C6" s="4" t="inlineStr">
        <is>
          <t>Executar papelão, metal direto e metal com espaçador usando TAG1.</t>
        </is>
      </c>
      <c r="D6" s="4" t="inlineStr">
        <is>
          <t>Cinco tentativas preenchidas em cada suporte.</t>
        </is>
      </c>
      <c r="E6" s="5" t="n"/>
    </row>
    <row r="7" ht="48" customHeight="1">
      <c r="A7" s="4" t="n">
        <v>5</v>
      </c>
      <c r="B7" s="4" t="inlineStr">
        <is>
          <t>10 min</t>
        </is>
      </c>
      <c r="C7" s="4" t="inlineStr">
        <is>
          <t>Executar cinco janelas de inventário de 10 s com o mesmo percurso.</t>
        </is>
      </c>
      <c r="D7" s="4" t="inlineStr">
        <is>
          <t>EPCs detectados e quantidade registrados em cada janela.</t>
        </is>
      </c>
      <c r="E7" s="5" t="n"/>
    </row>
    <row r="8" ht="48" customHeight="1">
      <c r="A8" s="4" t="n">
        <v>6</v>
      </c>
      <c r="B8" s="4" t="inlineStr">
        <is>
          <t>5 min</t>
        </is>
      </c>
      <c r="C8" s="4" t="inlineStr">
        <is>
          <t>Revisar campos vazios, salvar cópia e copiar fotos/logs.</t>
        </is>
      </c>
      <c r="D8" s="4" t="inlineStr">
        <is>
          <t>Arquivo abre novamente e a aba Resumo apresenta taxas.</t>
        </is>
      </c>
      <c r="E8" s="5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28" customHeight="1">
      <c r="A1" s="1" t="inlineStr">
        <is>
          <t>RESUMO AUTOMÁTICO — NÃO DIGITAR NAS CÉLULAS AZUIS</t>
        </is>
      </c>
    </row>
    <row r="2" ht="34" customHeight="1">
      <c r="A2" s="2" t="inlineStr">
        <is>
          <t>Ensaio</t>
        </is>
      </c>
      <c r="B2" s="2" t="inlineStr">
        <is>
          <t>Condição</t>
        </is>
      </c>
      <c r="C2" s="2" t="inlineStr">
        <is>
          <t>Planejado</t>
        </is>
      </c>
      <c r="D2" s="2" t="inlineStr">
        <is>
          <t>Preenchido</t>
        </is>
      </c>
      <c r="E2" s="2" t="inlineStr">
        <is>
          <t>Sucessos</t>
        </is>
      </c>
      <c r="F2" s="2" t="inlineStr">
        <is>
          <t>Taxa_%</t>
        </is>
      </c>
      <c r="G2" s="2" t="inlineStr">
        <is>
          <t>Situação</t>
        </is>
      </c>
    </row>
    <row r="3">
      <c r="A3" t="inlineStr">
        <is>
          <t>Alcance</t>
        </is>
      </c>
      <c r="B3" s="6" t="n">
        <v>0.5</v>
      </c>
      <c r="C3" t="n">
        <v>15</v>
      </c>
      <c r="D3" s="7">
        <f>COUNTIFS(Alcance!$B:$B,B3,Alcance!$J:$J,"&lt;&gt;")</f>
        <v/>
      </c>
      <c r="E3" s="7">
        <f>COUNTIFS(Alcance!$B:$B,B3,Alcance!$J:$J,1)</f>
        <v/>
      </c>
      <c r="F3" s="8">
        <f>IF(D3&gt;0,E3/D3*100,"")</f>
        <v/>
      </c>
      <c r="G3" s="7">
        <f>IF(D3=C3,"COMPLETO","PENDENTE")</f>
        <v/>
      </c>
    </row>
    <row r="4">
      <c r="A4" t="inlineStr">
        <is>
          <t>Alcance</t>
        </is>
      </c>
      <c r="B4" s="6" t="n">
        <v>1</v>
      </c>
      <c r="C4" t="n">
        <v>15</v>
      </c>
      <c r="D4" s="7">
        <f>COUNTIFS(Alcance!$B:$B,B4,Alcance!$J:$J,"&lt;&gt;")</f>
        <v/>
      </c>
      <c r="E4" s="7">
        <f>COUNTIFS(Alcance!$B:$B,B4,Alcance!$J:$J,1)</f>
        <v/>
      </c>
      <c r="F4" s="8">
        <f>IF(D4&gt;0,E4/D4*100,"")</f>
        <v/>
      </c>
      <c r="G4" s="7">
        <f>IF(D4=C4,"COMPLETO","PENDENTE")</f>
        <v/>
      </c>
    </row>
    <row r="5">
      <c r="A5" t="inlineStr">
        <is>
          <t>Alcance</t>
        </is>
      </c>
      <c r="B5" s="6" t="n">
        <v>1.5</v>
      </c>
      <c r="C5" t="n">
        <v>15</v>
      </c>
      <c r="D5" s="7">
        <f>COUNTIFS(Alcance!$B:$B,B5,Alcance!$J:$J,"&lt;&gt;")</f>
        <v/>
      </c>
      <c r="E5" s="7">
        <f>COUNTIFS(Alcance!$B:$B,B5,Alcance!$J:$J,1)</f>
        <v/>
      </c>
      <c r="F5" s="8">
        <f>IF(D5&gt;0,E5/D5*100,"")</f>
        <v/>
      </c>
      <c r="G5" s="7">
        <f>IF(D5=C5,"COMPLETO","PENDENTE")</f>
        <v/>
      </c>
    </row>
    <row r="6">
      <c r="A6" t="inlineStr">
        <is>
          <t>Alcance</t>
        </is>
      </c>
      <c r="B6" s="6" t="n">
        <v>2</v>
      </c>
      <c r="C6" t="n">
        <v>15</v>
      </c>
      <c r="D6" s="7">
        <f>COUNTIFS(Alcance!$B:$B,B6,Alcance!$J:$J,"&lt;&gt;")</f>
        <v/>
      </c>
      <c r="E6" s="7">
        <f>COUNTIFS(Alcance!$B:$B,B6,Alcance!$J:$J,1)</f>
        <v/>
      </c>
      <c r="F6" s="8">
        <f>IF(D6&gt;0,E6/D6*100,"")</f>
        <v/>
      </c>
      <c r="G6" s="7">
        <f>IF(D6=C6,"COMPLETO","PENDENTE")</f>
        <v/>
      </c>
    </row>
    <row r="7">
      <c r="A7" t="inlineStr">
        <is>
          <t>Orientacao</t>
        </is>
      </c>
      <c r="B7" s="9" t="n">
        <v>0</v>
      </c>
      <c r="C7" t="n">
        <v>15</v>
      </c>
      <c r="D7" s="7">
        <f>COUNTIFS(Orientacao!$B:$B,B7,Orientacao!$J:$J,"&lt;&gt;")</f>
        <v/>
      </c>
      <c r="E7" s="7">
        <f>COUNTIFS(Orientacao!$B:$B,B7,Orientacao!$J:$J,1)</f>
        <v/>
      </c>
      <c r="F7" s="8">
        <f>IF(D7&gt;0,E7/D7*100,"")</f>
        <v/>
      </c>
      <c r="G7" s="7">
        <f>IF(D7=C7,"COMPLETO","PENDENTE")</f>
        <v/>
      </c>
    </row>
    <row r="8">
      <c r="A8" t="inlineStr">
        <is>
          <t>Orientacao</t>
        </is>
      </c>
      <c r="B8" s="9" t="n">
        <v>45</v>
      </c>
      <c r="C8" t="n">
        <v>15</v>
      </c>
      <c r="D8" s="7">
        <f>COUNTIFS(Orientacao!$B:$B,B8,Orientacao!$J:$J,"&lt;&gt;")</f>
        <v/>
      </c>
      <c r="E8" s="7">
        <f>COUNTIFS(Orientacao!$B:$B,B8,Orientacao!$J:$J,1)</f>
        <v/>
      </c>
      <c r="F8" s="8">
        <f>IF(D8&gt;0,E8/D8*100,"")</f>
        <v/>
      </c>
      <c r="G8" s="7">
        <f>IF(D8=C8,"COMPLETO","PENDENTE")</f>
        <v/>
      </c>
    </row>
    <row r="9">
      <c r="A9" t="inlineStr">
        <is>
          <t>Orientacao</t>
        </is>
      </c>
      <c r="B9" s="9" t="n">
        <v>90</v>
      </c>
      <c r="C9" t="n">
        <v>15</v>
      </c>
      <c r="D9" s="7">
        <f>COUNTIFS(Orientacao!$B:$B,B9,Orientacao!$J:$J,"&lt;&gt;")</f>
        <v/>
      </c>
      <c r="E9" s="7">
        <f>COUNTIFS(Orientacao!$B:$B,B9,Orientacao!$J:$J,1)</f>
        <v/>
      </c>
      <c r="F9" s="8">
        <f>IF(D9&gt;0,E9/D9*100,"")</f>
        <v/>
      </c>
      <c r="G9" s="7">
        <f>IF(D9=C9,"COMPLETO","PENDENTE")</f>
        <v/>
      </c>
    </row>
    <row r="10">
      <c r="A10" t="inlineStr">
        <is>
          <t>Material</t>
        </is>
      </c>
      <c r="B10" t="inlineStr">
        <is>
          <t>Papelao</t>
        </is>
      </c>
      <c r="C10" t="n">
        <v>5</v>
      </c>
      <c r="D10" s="7">
        <f>COUNTIFS(Material!$B:$B,B10,Material!$K:$K,"&lt;&gt;")</f>
        <v/>
      </c>
      <c r="E10" s="7">
        <f>COUNTIFS(Material!$B:$B,B10,Material!$K:$K,1)</f>
        <v/>
      </c>
      <c r="F10" s="8">
        <f>IF(D10&gt;0,E10/D10*100,"")</f>
        <v/>
      </c>
      <c r="G10" s="7">
        <f>IF(D10=C10,"COMPLETO","PENDENTE")</f>
        <v/>
      </c>
    </row>
    <row r="11">
      <c r="A11" t="inlineStr">
        <is>
          <t>Material</t>
        </is>
      </c>
      <c r="B11" t="inlineStr">
        <is>
          <t>Metal direto</t>
        </is>
      </c>
      <c r="C11" t="n">
        <v>5</v>
      </c>
      <c r="D11" s="7">
        <f>COUNTIFS(Material!$B:$B,B11,Material!$K:$K,"&lt;&gt;")</f>
        <v/>
      </c>
      <c r="E11" s="7">
        <f>COUNTIFS(Material!$B:$B,B11,Material!$K:$K,1)</f>
        <v/>
      </c>
      <c r="F11" s="8">
        <f>IF(D11&gt;0,E11/D11*100,"")</f>
        <v/>
      </c>
      <c r="G11" s="7">
        <f>IF(D11=C11,"COMPLETO","PENDENTE")</f>
        <v/>
      </c>
    </row>
    <row r="12">
      <c r="A12" t="inlineStr">
        <is>
          <t>Material</t>
        </is>
      </c>
      <c r="B12" t="inlineStr">
        <is>
          <t>Metal com espacador</t>
        </is>
      </c>
      <c r="C12" t="n">
        <v>5</v>
      </c>
      <c r="D12" s="7">
        <f>COUNTIFS(Material!$B:$B,B12,Material!$K:$K,"&lt;&gt;")</f>
        <v/>
      </c>
      <c r="E12" s="7">
        <f>COUNTIFS(Material!$B:$B,B12,Material!$K:$K,1)</f>
        <v/>
      </c>
      <c r="F12" s="8">
        <f>IF(D12&gt;0,E12/D12*100,"")</f>
        <v/>
      </c>
      <c r="G12" s="7">
        <f>IF(D12=C12,"COMPLETO","PENDENTE")</f>
        <v/>
      </c>
    </row>
    <row r="13">
      <c r="A13" t="inlineStr">
        <is>
          <t>Inventario</t>
        </is>
      </c>
      <c r="B13" t="inlineStr">
        <is>
          <t>5 janelas</t>
        </is>
      </c>
      <c r="C13" t="n">
        <v>5</v>
      </c>
      <c r="D13" s="7">
        <f>COUNT(Inventario!$E$2:$E$6)</f>
        <v/>
      </c>
      <c r="E13" s="7">
        <f>SUM(Inventario!$G$2:$G$6)</f>
        <v/>
      </c>
      <c r="F13" s="8">
        <f>IFERROR(AVERAGE(Inventario!$F$2:$F$6),"")</f>
        <v/>
      </c>
      <c r="G13" s="7">
        <f>IF(D13=C13,"COMPLETO","PENDENTE")</f>
        <v/>
      </c>
    </row>
  </sheetData>
  <autoFilter ref="A2:G13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72" customWidth="1" min="3" max="3"/>
  </cols>
  <sheetData>
    <row r="1" ht="34" customHeight="1">
      <c r="A1" s="2" t="inlineStr">
        <is>
          <t>Parâmetro</t>
        </is>
      </c>
      <c r="B1" s="2" t="inlineStr">
        <is>
          <t>Valor real</t>
        </is>
      </c>
      <c r="C1" s="2" t="inlineStr">
        <is>
          <t>Como preencher</t>
        </is>
      </c>
    </row>
    <row r="2">
      <c r="A2" t="inlineStr">
        <is>
          <t>Data da coleta</t>
        </is>
      </c>
      <c r="B2" s="10" t="n"/>
      <c r="C2" s="4" t="inlineStr">
        <is>
          <t>Data em que os experimentos foram realmente executados.</t>
        </is>
      </c>
    </row>
    <row r="3">
      <c r="A3" t="inlineStr">
        <is>
          <t>Hora de início</t>
        </is>
      </c>
      <c r="B3" s="10" t="n"/>
      <c r="C3" s="4" t="inlineStr">
        <is>
          <t>Hora aproximada do início da montagem.</t>
        </is>
      </c>
    </row>
    <row r="4">
      <c r="A4" t="inlineStr">
        <is>
          <t>Local/sala</t>
        </is>
      </c>
      <c r="B4" s="10" t="n"/>
      <c r="C4" s="4" t="inlineStr">
        <is>
          <t>Nome exato da sala e prédio.</t>
        </is>
      </c>
    </row>
    <row r="5">
      <c r="A5" t="inlineStr">
        <is>
          <t>Operador</t>
        </is>
      </c>
      <c r="B5" s="10" t="inlineStr">
        <is>
          <t>Leonardo Teixeira Gomes Silva</t>
        </is>
      </c>
      <c r="C5" s="4" t="inlineStr">
        <is>
          <t>Pessoa que realizou a coleta.</t>
        </is>
      </c>
    </row>
    <row r="6">
      <c r="A6" t="inlineStr">
        <is>
          <t>Leitor</t>
        </is>
      </c>
      <c r="B6" s="10" t="inlineStr">
        <is>
          <t>YPD-R200</t>
        </is>
      </c>
      <c r="C6" s="4" t="inlineStr">
        <is>
          <t>Confirmar a identificação do módulo.</t>
        </is>
      </c>
    </row>
    <row r="7">
      <c r="A7" t="inlineStr">
        <is>
          <t>Placa</t>
        </is>
      </c>
      <c r="B7" s="10" t="n"/>
      <c r="C7" s="4" t="inlineStr">
        <is>
          <t>Arduino Uno ou Nano; informar qual foi usado.</t>
        </is>
      </c>
    </row>
    <row r="8">
      <c r="A8" t="inlineStr">
        <is>
          <t>Firmware/commit</t>
        </is>
      </c>
      <c r="B8" s="10" t="n"/>
      <c r="C8" s="4" t="inlineStr">
        <is>
          <t>Nome/versão do arquivo carregado no Arduino.</t>
        </is>
      </c>
    </row>
    <row r="9">
      <c r="A9" t="inlineStr">
        <is>
          <t>Antena</t>
        </is>
      </c>
      <c r="B9" s="10" t="inlineStr">
        <is>
          <t>Airplux APCA8090</t>
        </is>
      </c>
      <c r="C9" s="4" t="inlineStr">
        <is>
          <t>Confirmar modelo/variante disponível.</t>
        </is>
      </c>
    </row>
    <row r="10">
      <c r="A10" t="inlineStr">
        <is>
          <t>Ganho nominal (dBi)</t>
        </is>
      </c>
      <c r="B10" s="10" t="n">
        <v>5</v>
      </c>
      <c r="C10" s="4" t="inlineStr">
        <is>
          <t>Valor nominal do fabricante.</t>
        </is>
      </c>
    </row>
    <row r="11">
      <c r="A11" t="inlineStr">
        <is>
          <t>Polarização</t>
        </is>
      </c>
      <c r="B11" s="10" t="inlineStr">
        <is>
          <t>Linear</t>
        </is>
      </c>
      <c r="C11" s="4" t="inlineStr">
        <is>
          <t>Polarização informada para a antena.</t>
        </is>
      </c>
    </row>
    <row r="12">
      <c r="A12" t="inlineStr">
        <is>
          <t>Região/canal/FHSS</t>
        </is>
      </c>
      <c r="B12" s="10" t="n"/>
      <c r="C12" s="4" t="inlineStr">
        <is>
          <t>Registrar o que estiver configurado; se desconhecido, escrever NÃO VERIFICADO.</t>
        </is>
      </c>
    </row>
    <row r="13">
      <c r="A13" t="inlineStr">
        <is>
          <t>Potência configurada (dBm)</t>
        </is>
      </c>
      <c r="B13" s="10" t="n">
        <v>26</v>
      </c>
      <c r="C13" s="4" t="inlineStr">
        <is>
          <t>Registrar o comando usado; indicar se foi lido de volta.</t>
        </is>
      </c>
    </row>
    <row r="14">
      <c r="A14" t="inlineStr">
        <is>
          <t>Altura da antena (cm)</t>
        </is>
      </c>
      <c r="B14" s="10" t="n">
        <v>150</v>
      </c>
      <c r="C14" s="4" t="inlineStr">
        <is>
          <t>Medir do piso ao centro da antena.</t>
        </is>
      </c>
    </row>
    <row r="15">
      <c r="A15" t="inlineStr">
        <is>
          <t>Fonte do leitor</t>
        </is>
      </c>
      <c r="B15" s="10" t="inlineStr">
        <is>
          <t>5 V / 1 A externa</t>
        </is>
      </c>
      <c r="C15" s="4" t="inlineStr">
        <is>
          <t>Registrar tensão/corrente nominais da fonte.</t>
        </is>
      </c>
    </row>
    <row r="16">
      <c r="A16" t="inlineStr">
        <is>
          <t>Baud rate UART</t>
        </is>
      </c>
      <c r="B16" s="10" t="n">
        <v>115200</v>
      </c>
      <c r="C16" s="4" t="inlineStr">
        <is>
          <t>Velocidade entre Arduino e YPD-R200.</t>
        </is>
      </c>
    </row>
    <row r="17">
      <c r="A17" t="inlineStr">
        <is>
          <t>Intervalo de estabilização</t>
        </is>
      </c>
      <c r="B17" s="10" t="n"/>
      <c r="C17" s="4" t="inlineStr">
        <is>
          <t>Tempo aguardado após mover tag/antena, em segundos.</t>
        </is>
      </c>
    </row>
    <row r="18">
      <c r="A18" t="inlineStr">
        <is>
          <t>Pessoas no ambiente</t>
        </is>
      </c>
      <c r="B18" s="10" t="n"/>
      <c r="C18" s="4" t="inlineStr">
        <is>
          <t>Quantidade aproximada e movimentação durante o teste.</t>
        </is>
      </c>
    </row>
    <row r="19">
      <c r="A19" t="inlineStr">
        <is>
          <t>Objetos metálicos próximos</t>
        </is>
      </c>
      <c r="B19" s="10" t="n"/>
      <c r="C19" s="4" t="inlineStr">
        <is>
          <t>Descrever bancada, armários e distância aproximada.</t>
        </is>
      </c>
    </row>
    <row r="20">
      <c r="A20" t="inlineStr">
        <is>
          <t>Fotos/arquivos</t>
        </is>
      </c>
      <c r="B20" s="10" t="n"/>
      <c r="C20" s="4" t="inlineStr">
        <is>
          <t>Nomes das fotos e do log serial, se houver.</t>
        </is>
      </c>
    </row>
    <row r="21">
      <c r="A21" t="inlineStr">
        <is>
          <t>Ocorrências</t>
        </is>
      </c>
      <c r="B21" s="10" t="n"/>
      <c r="C21" s="4" t="inlineStr">
        <is>
          <t>Reinicializações, quedas de alimentação ou mudanças de configuração.</t>
        </is>
      </c>
    </row>
  </sheetData>
  <autoFilter ref="A1:C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22" customWidth="1" min="4" max="4"/>
    <col width="28" customWidth="1" min="5" max="5"/>
    <col width="55" customWidth="1" min="6" max="6"/>
  </cols>
  <sheetData>
    <row r="1" ht="34" customHeight="1">
      <c r="A1" s="2" t="inlineStr">
        <is>
          <t>tag_id</t>
        </is>
      </c>
      <c r="B1" s="2" t="inlineStr">
        <is>
          <t>epc_real</t>
        </is>
      </c>
      <c r="C1" s="2" t="inlineStr">
        <is>
          <t>objeto/suporte</t>
        </is>
      </c>
      <c r="D1" s="2" t="inlineStr">
        <is>
          <t>material</t>
        </is>
      </c>
      <c r="E1" s="2" t="inlineStr">
        <is>
          <t>foto/posição</t>
        </is>
      </c>
      <c r="F1" s="2" t="inlineStr">
        <is>
          <t>observações</t>
        </is>
      </c>
    </row>
    <row r="2">
      <c r="A2" t="inlineStr">
        <is>
          <t>TAG1</t>
        </is>
      </c>
      <c r="B2" s="10" t="n"/>
      <c r="C2" s="10" t="n"/>
      <c r="D2" s="10" t="n"/>
      <c r="E2" s="10" t="n"/>
      <c r="F2" s="10" t="n"/>
    </row>
    <row r="3">
      <c r="A3" t="inlineStr">
        <is>
          <t>TAG2</t>
        </is>
      </c>
      <c r="B3" s="10" t="n"/>
      <c r="C3" s="10" t="n"/>
      <c r="D3" s="10" t="n"/>
      <c r="E3" s="10" t="n"/>
      <c r="F3" s="10" t="n"/>
    </row>
    <row r="4">
      <c r="A4" t="inlineStr">
        <is>
          <t>TAG3</t>
        </is>
      </c>
      <c r="B4" s="10" t="n"/>
      <c r="C4" s="10" t="n"/>
      <c r="D4" s="10" t="n"/>
      <c r="E4" s="10" t="n"/>
      <c r="F4" s="10" t="n"/>
    </row>
    <row r="5">
      <c r="A5" t="inlineStr">
        <is>
          <t>TAG4</t>
        </is>
      </c>
      <c r="B5" s="10" t="n"/>
      <c r="C5" s="10" t="n"/>
      <c r="D5" s="10" t="n"/>
      <c r="E5" s="10" t="n"/>
      <c r="F5" s="10" t="n"/>
    </row>
    <row r="6">
      <c r="A6" t="inlineStr">
        <is>
          <t>TAG5</t>
        </is>
      </c>
      <c r="B6" s="10" t="n"/>
      <c r="C6" s="10" t="n"/>
      <c r="D6" s="10" t="n"/>
      <c r="E6" s="10" t="n"/>
      <c r="F6" s="10" t="n"/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0" customWidth="1" min="4" max="4"/>
    <col width="18" customWidth="1" min="5" max="5"/>
    <col width="16" customWidth="1" min="6" max="6"/>
    <col width="18" customWidth="1" min="7" max="7"/>
    <col width="21" customWidth="1" min="8" max="8"/>
    <col width="18" customWidth="1" min="9" max="9"/>
    <col width="16" customWidth="1" min="10" max="10"/>
    <col width="38" customWidth="1" min="11" max="11"/>
    <col width="24" customWidth="1" min="12" max="12"/>
    <col width="55" customWidth="1" min="13" max="13"/>
  </cols>
  <sheetData>
    <row r="1" ht="34" customHeight="1">
      <c r="A1" s="2" t="inlineStr">
        <is>
          <t>ordem</t>
        </is>
      </c>
      <c r="B1" s="2" t="inlineStr">
        <is>
          <t>distancia_horizontal_m</t>
        </is>
      </c>
      <c r="C1" s="2" t="inlineStr">
        <is>
          <t>tag_id</t>
        </is>
      </c>
      <c r="D1" s="2" t="inlineStr">
        <is>
          <t>tentativa</t>
        </is>
      </c>
      <c r="E1" s="2" t="inlineStr">
        <is>
          <t>altura_antena_cm</t>
        </is>
      </c>
      <c r="F1" s="2" t="inlineStr">
        <is>
          <t>altura_tag_cm</t>
        </is>
      </c>
      <c r="G1" s="2" t="inlineStr">
        <is>
          <t>orientacao_graus</t>
        </is>
      </c>
      <c r="H1" s="2" t="inlineStr">
        <is>
          <t>material_suporte</t>
        </is>
      </c>
      <c r="I1" s="2" t="inlineStr">
        <is>
          <t>duracao_janela_s</t>
        </is>
      </c>
      <c r="J1" s="2" t="inlineStr">
        <is>
          <t>detectou_0_1</t>
        </is>
      </c>
      <c r="K1" s="2" t="inlineStr">
        <is>
          <t>epc_observado</t>
        </is>
      </c>
      <c r="L1" s="2" t="inlineStr">
        <is>
          <t>tempo_primeira_leitura_s</t>
        </is>
      </c>
      <c r="M1" s="2" t="inlineStr">
        <is>
          <t>observacoes</t>
        </is>
      </c>
    </row>
    <row r="2">
      <c r="A2" t="n">
        <v>1</v>
      </c>
      <c r="B2" t="n">
        <v>0.5</v>
      </c>
      <c r="C2" t="inlineStr">
        <is>
          <t>TAG1</t>
        </is>
      </c>
      <c r="D2" t="n">
        <v>1</v>
      </c>
      <c r="E2" t="n">
        <v>150</v>
      </c>
      <c r="F2" t="n">
        <v>150</v>
      </c>
      <c r="G2" t="n">
        <v>0</v>
      </c>
      <c r="H2" t="inlineStr">
        <is>
          <t>Papelao</t>
        </is>
      </c>
      <c r="I2" t="n">
        <v>3</v>
      </c>
      <c r="J2" s="10" t="n"/>
      <c r="K2" s="10" t="n"/>
      <c r="L2" s="10" t="n"/>
      <c r="M2" s="10" t="n"/>
    </row>
    <row r="3">
      <c r="A3" t="n">
        <v>2</v>
      </c>
      <c r="B3" t="n">
        <v>0.5</v>
      </c>
      <c r="C3" t="inlineStr">
        <is>
          <t>TAG1</t>
        </is>
      </c>
      <c r="D3" t="n">
        <v>2</v>
      </c>
      <c r="E3" t="n">
        <v>150</v>
      </c>
      <c r="F3" t="n">
        <v>150</v>
      </c>
      <c r="G3" t="n">
        <v>0</v>
      </c>
      <c r="H3" t="inlineStr">
        <is>
          <t>Papelao</t>
        </is>
      </c>
      <c r="I3" t="n">
        <v>3</v>
      </c>
      <c r="J3" s="10" t="n"/>
      <c r="K3" s="10" t="n"/>
      <c r="L3" s="10" t="n"/>
      <c r="M3" s="10" t="n"/>
    </row>
    <row r="4">
      <c r="A4" t="n">
        <v>3</v>
      </c>
      <c r="B4" t="n">
        <v>0.5</v>
      </c>
      <c r="C4" t="inlineStr">
        <is>
          <t>TAG1</t>
        </is>
      </c>
      <c r="D4" t="n">
        <v>3</v>
      </c>
      <c r="E4" t="n">
        <v>150</v>
      </c>
      <c r="F4" t="n">
        <v>150</v>
      </c>
      <c r="G4" t="n">
        <v>0</v>
      </c>
      <c r="H4" t="inlineStr">
        <is>
          <t>Papelao</t>
        </is>
      </c>
      <c r="I4" t="n">
        <v>3</v>
      </c>
      <c r="J4" s="10" t="n"/>
      <c r="K4" s="10" t="n"/>
      <c r="L4" s="10" t="n"/>
      <c r="M4" s="10" t="n"/>
    </row>
    <row r="5">
      <c r="A5" t="n">
        <v>4</v>
      </c>
      <c r="B5" t="n">
        <v>0.5</v>
      </c>
      <c r="C5" t="inlineStr">
        <is>
          <t>TAG1</t>
        </is>
      </c>
      <c r="D5" t="n">
        <v>4</v>
      </c>
      <c r="E5" t="n">
        <v>150</v>
      </c>
      <c r="F5" t="n">
        <v>150</v>
      </c>
      <c r="G5" t="n">
        <v>0</v>
      </c>
      <c r="H5" t="inlineStr">
        <is>
          <t>Papelao</t>
        </is>
      </c>
      <c r="I5" t="n">
        <v>3</v>
      </c>
      <c r="J5" s="10" t="n"/>
      <c r="K5" s="10" t="n"/>
      <c r="L5" s="10" t="n"/>
      <c r="M5" s="10" t="n"/>
    </row>
    <row r="6">
      <c r="A6" t="n">
        <v>5</v>
      </c>
      <c r="B6" t="n">
        <v>0.5</v>
      </c>
      <c r="C6" t="inlineStr">
        <is>
          <t>TAG1</t>
        </is>
      </c>
      <c r="D6" t="n">
        <v>5</v>
      </c>
      <c r="E6" t="n">
        <v>150</v>
      </c>
      <c r="F6" t="n">
        <v>150</v>
      </c>
      <c r="G6" t="n">
        <v>0</v>
      </c>
      <c r="H6" t="inlineStr">
        <is>
          <t>Papelao</t>
        </is>
      </c>
      <c r="I6" t="n">
        <v>3</v>
      </c>
      <c r="J6" s="10" t="n"/>
      <c r="K6" s="10" t="n"/>
      <c r="L6" s="10" t="n"/>
      <c r="M6" s="10" t="n"/>
    </row>
    <row r="7">
      <c r="A7" t="n">
        <v>6</v>
      </c>
      <c r="B7" t="n">
        <v>0.5</v>
      </c>
      <c r="C7" t="inlineStr">
        <is>
          <t>TAG2</t>
        </is>
      </c>
      <c r="D7" t="n">
        <v>1</v>
      </c>
      <c r="E7" t="n">
        <v>150</v>
      </c>
      <c r="F7" t="n">
        <v>150</v>
      </c>
      <c r="G7" t="n">
        <v>0</v>
      </c>
      <c r="H7" t="inlineStr">
        <is>
          <t>Papelao</t>
        </is>
      </c>
      <c r="I7" t="n">
        <v>3</v>
      </c>
      <c r="J7" s="10" t="n"/>
      <c r="K7" s="10" t="n"/>
      <c r="L7" s="10" t="n"/>
      <c r="M7" s="10" t="n"/>
    </row>
    <row r="8">
      <c r="A8" t="n">
        <v>7</v>
      </c>
      <c r="B8" t="n">
        <v>0.5</v>
      </c>
      <c r="C8" t="inlineStr">
        <is>
          <t>TAG2</t>
        </is>
      </c>
      <c r="D8" t="n">
        <v>2</v>
      </c>
      <c r="E8" t="n">
        <v>150</v>
      </c>
      <c r="F8" t="n">
        <v>150</v>
      </c>
      <c r="G8" t="n">
        <v>0</v>
      </c>
      <c r="H8" t="inlineStr">
        <is>
          <t>Papelao</t>
        </is>
      </c>
      <c r="I8" t="n">
        <v>3</v>
      </c>
      <c r="J8" s="10" t="n"/>
      <c r="K8" s="10" t="n"/>
      <c r="L8" s="10" t="n"/>
      <c r="M8" s="10" t="n"/>
    </row>
    <row r="9">
      <c r="A9" t="n">
        <v>8</v>
      </c>
      <c r="B9" t="n">
        <v>0.5</v>
      </c>
      <c r="C9" t="inlineStr">
        <is>
          <t>TAG2</t>
        </is>
      </c>
      <c r="D9" t="n">
        <v>3</v>
      </c>
      <c r="E9" t="n">
        <v>150</v>
      </c>
      <c r="F9" t="n">
        <v>150</v>
      </c>
      <c r="G9" t="n">
        <v>0</v>
      </c>
      <c r="H9" t="inlineStr">
        <is>
          <t>Papelao</t>
        </is>
      </c>
      <c r="I9" t="n">
        <v>3</v>
      </c>
      <c r="J9" s="10" t="n"/>
      <c r="K9" s="10" t="n"/>
      <c r="L9" s="10" t="n"/>
      <c r="M9" s="10" t="n"/>
    </row>
    <row r="10">
      <c r="A10" t="n">
        <v>9</v>
      </c>
      <c r="B10" t="n">
        <v>0.5</v>
      </c>
      <c r="C10" t="inlineStr">
        <is>
          <t>TAG2</t>
        </is>
      </c>
      <c r="D10" t="n">
        <v>4</v>
      </c>
      <c r="E10" t="n">
        <v>150</v>
      </c>
      <c r="F10" t="n">
        <v>150</v>
      </c>
      <c r="G10" t="n">
        <v>0</v>
      </c>
      <c r="H10" t="inlineStr">
        <is>
          <t>Papelao</t>
        </is>
      </c>
      <c r="I10" t="n">
        <v>3</v>
      </c>
      <c r="J10" s="10" t="n"/>
      <c r="K10" s="10" t="n"/>
      <c r="L10" s="10" t="n"/>
      <c r="M10" s="10" t="n"/>
    </row>
    <row r="11">
      <c r="A11" t="n">
        <v>10</v>
      </c>
      <c r="B11" t="n">
        <v>0.5</v>
      </c>
      <c r="C11" t="inlineStr">
        <is>
          <t>TAG2</t>
        </is>
      </c>
      <c r="D11" t="n">
        <v>5</v>
      </c>
      <c r="E11" t="n">
        <v>150</v>
      </c>
      <c r="F11" t="n">
        <v>150</v>
      </c>
      <c r="G11" t="n">
        <v>0</v>
      </c>
      <c r="H11" t="inlineStr">
        <is>
          <t>Papelao</t>
        </is>
      </c>
      <c r="I11" t="n">
        <v>3</v>
      </c>
      <c r="J11" s="10" t="n"/>
      <c r="K11" s="10" t="n"/>
      <c r="L11" s="10" t="n"/>
      <c r="M11" s="10" t="n"/>
    </row>
    <row r="12">
      <c r="A12" t="n">
        <v>11</v>
      </c>
      <c r="B12" t="n">
        <v>0.5</v>
      </c>
      <c r="C12" t="inlineStr">
        <is>
          <t>TAG3</t>
        </is>
      </c>
      <c r="D12" t="n">
        <v>1</v>
      </c>
      <c r="E12" t="n">
        <v>150</v>
      </c>
      <c r="F12" t="n">
        <v>150</v>
      </c>
      <c r="G12" t="n">
        <v>0</v>
      </c>
      <c r="H12" t="inlineStr">
        <is>
          <t>Papelao</t>
        </is>
      </c>
      <c r="I12" t="n">
        <v>3</v>
      </c>
      <c r="J12" s="10" t="n"/>
      <c r="K12" s="10" t="n"/>
      <c r="L12" s="10" t="n"/>
      <c r="M12" s="10" t="n"/>
    </row>
    <row r="13">
      <c r="A13" t="n">
        <v>12</v>
      </c>
      <c r="B13" t="n">
        <v>0.5</v>
      </c>
      <c r="C13" t="inlineStr">
        <is>
          <t>TAG3</t>
        </is>
      </c>
      <c r="D13" t="n">
        <v>2</v>
      </c>
      <c r="E13" t="n">
        <v>150</v>
      </c>
      <c r="F13" t="n">
        <v>150</v>
      </c>
      <c r="G13" t="n">
        <v>0</v>
      </c>
      <c r="H13" t="inlineStr">
        <is>
          <t>Papelao</t>
        </is>
      </c>
      <c r="I13" t="n">
        <v>3</v>
      </c>
      <c r="J13" s="10" t="n"/>
      <c r="K13" s="10" t="n"/>
      <c r="L13" s="10" t="n"/>
      <c r="M13" s="10" t="n"/>
    </row>
    <row r="14">
      <c r="A14" t="n">
        <v>13</v>
      </c>
      <c r="B14" t="n">
        <v>0.5</v>
      </c>
      <c r="C14" t="inlineStr">
        <is>
          <t>TAG3</t>
        </is>
      </c>
      <c r="D14" t="n">
        <v>3</v>
      </c>
      <c r="E14" t="n">
        <v>150</v>
      </c>
      <c r="F14" t="n">
        <v>150</v>
      </c>
      <c r="G14" t="n">
        <v>0</v>
      </c>
      <c r="H14" t="inlineStr">
        <is>
          <t>Papelao</t>
        </is>
      </c>
      <c r="I14" t="n">
        <v>3</v>
      </c>
      <c r="J14" s="10" t="n"/>
      <c r="K14" s="10" t="n"/>
      <c r="L14" s="10" t="n"/>
      <c r="M14" s="10" t="n"/>
    </row>
    <row r="15">
      <c r="A15" t="n">
        <v>14</v>
      </c>
      <c r="B15" t="n">
        <v>0.5</v>
      </c>
      <c r="C15" t="inlineStr">
        <is>
          <t>TAG3</t>
        </is>
      </c>
      <c r="D15" t="n">
        <v>4</v>
      </c>
      <c r="E15" t="n">
        <v>150</v>
      </c>
      <c r="F15" t="n">
        <v>150</v>
      </c>
      <c r="G15" t="n">
        <v>0</v>
      </c>
      <c r="H15" t="inlineStr">
        <is>
          <t>Papelao</t>
        </is>
      </c>
      <c r="I15" t="n">
        <v>3</v>
      </c>
      <c r="J15" s="10" t="n"/>
      <c r="K15" s="10" t="n"/>
      <c r="L15" s="10" t="n"/>
      <c r="M15" s="10" t="n"/>
    </row>
    <row r="16">
      <c r="A16" t="n">
        <v>15</v>
      </c>
      <c r="B16" t="n">
        <v>0.5</v>
      </c>
      <c r="C16" t="inlineStr">
        <is>
          <t>TAG3</t>
        </is>
      </c>
      <c r="D16" t="n">
        <v>5</v>
      </c>
      <c r="E16" t="n">
        <v>150</v>
      </c>
      <c r="F16" t="n">
        <v>150</v>
      </c>
      <c r="G16" t="n">
        <v>0</v>
      </c>
      <c r="H16" t="inlineStr">
        <is>
          <t>Papelao</t>
        </is>
      </c>
      <c r="I16" t="n">
        <v>3</v>
      </c>
      <c r="J16" s="10" t="n"/>
      <c r="K16" s="10" t="n"/>
      <c r="L16" s="10" t="n"/>
      <c r="M16" s="10" t="n"/>
    </row>
    <row r="17">
      <c r="A17" t="n">
        <v>16</v>
      </c>
      <c r="B17" t="n">
        <v>1</v>
      </c>
      <c r="C17" t="inlineStr">
        <is>
          <t>TAG1</t>
        </is>
      </c>
      <c r="D17" t="n">
        <v>1</v>
      </c>
      <c r="E17" t="n">
        <v>150</v>
      </c>
      <c r="F17" t="n">
        <v>150</v>
      </c>
      <c r="G17" t="n">
        <v>0</v>
      </c>
      <c r="H17" t="inlineStr">
        <is>
          <t>Papelao</t>
        </is>
      </c>
      <c r="I17" t="n">
        <v>3</v>
      </c>
      <c r="J17" s="10" t="n"/>
      <c r="K17" s="10" t="n"/>
      <c r="L17" s="10" t="n"/>
      <c r="M17" s="10" t="n"/>
    </row>
    <row r="18">
      <c r="A18" t="n">
        <v>17</v>
      </c>
      <c r="B18" t="n">
        <v>1</v>
      </c>
      <c r="C18" t="inlineStr">
        <is>
          <t>TAG1</t>
        </is>
      </c>
      <c r="D18" t="n">
        <v>2</v>
      </c>
      <c r="E18" t="n">
        <v>150</v>
      </c>
      <c r="F18" t="n">
        <v>150</v>
      </c>
      <c r="G18" t="n">
        <v>0</v>
      </c>
      <c r="H18" t="inlineStr">
        <is>
          <t>Papelao</t>
        </is>
      </c>
      <c r="I18" t="n">
        <v>3</v>
      </c>
      <c r="J18" s="10" t="n"/>
      <c r="K18" s="10" t="n"/>
      <c r="L18" s="10" t="n"/>
      <c r="M18" s="10" t="n"/>
    </row>
    <row r="19">
      <c r="A19" t="n">
        <v>18</v>
      </c>
      <c r="B19" t="n">
        <v>1</v>
      </c>
      <c r="C19" t="inlineStr">
        <is>
          <t>TAG1</t>
        </is>
      </c>
      <c r="D19" t="n">
        <v>3</v>
      </c>
      <c r="E19" t="n">
        <v>150</v>
      </c>
      <c r="F19" t="n">
        <v>150</v>
      </c>
      <c r="G19" t="n">
        <v>0</v>
      </c>
      <c r="H19" t="inlineStr">
        <is>
          <t>Papelao</t>
        </is>
      </c>
      <c r="I19" t="n">
        <v>3</v>
      </c>
      <c r="J19" s="10" t="n"/>
      <c r="K19" s="10" t="n"/>
      <c r="L19" s="10" t="n"/>
      <c r="M19" s="10" t="n"/>
    </row>
    <row r="20">
      <c r="A20" t="n">
        <v>19</v>
      </c>
      <c r="B20" t="n">
        <v>1</v>
      </c>
      <c r="C20" t="inlineStr">
        <is>
          <t>TAG1</t>
        </is>
      </c>
      <c r="D20" t="n">
        <v>4</v>
      </c>
      <c r="E20" t="n">
        <v>150</v>
      </c>
      <c r="F20" t="n">
        <v>150</v>
      </c>
      <c r="G20" t="n">
        <v>0</v>
      </c>
      <c r="H20" t="inlineStr">
        <is>
          <t>Papelao</t>
        </is>
      </c>
      <c r="I20" t="n">
        <v>3</v>
      </c>
      <c r="J20" s="10" t="n"/>
      <c r="K20" s="10" t="n"/>
      <c r="L20" s="10" t="n"/>
      <c r="M20" s="10" t="n"/>
    </row>
    <row r="21">
      <c r="A21" t="n">
        <v>20</v>
      </c>
      <c r="B21" t="n">
        <v>1</v>
      </c>
      <c r="C21" t="inlineStr">
        <is>
          <t>TAG1</t>
        </is>
      </c>
      <c r="D21" t="n">
        <v>5</v>
      </c>
      <c r="E21" t="n">
        <v>150</v>
      </c>
      <c r="F21" t="n">
        <v>150</v>
      </c>
      <c r="G21" t="n">
        <v>0</v>
      </c>
      <c r="H21" t="inlineStr">
        <is>
          <t>Papelao</t>
        </is>
      </c>
      <c r="I21" t="n">
        <v>3</v>
      </c>
      <c r="J21" s="10" t="n"/>
      <c r="K21" s="10" t="n"/>
      <c r="L21" s="10" t="n"/>
      <c r="M21" s="10" t="n"/>
    </row>
    <row r="22">
      <c r="A22" t="n">
        <v>21</v>
      </c>
      <c r="B22" t="n">
        <v>1</v>
      </c>
      <c r="C22" t="inlineStr">
        <is>
          <t>TAG2</t>
        </is>
      </c>
      <c r="D22" t="n">
        <v>1</v>
      </c>
      <c r="E22" t="n">
        <v>150</v>
      </c>
      <c r="F22" t="n">
        <v>150</v>
      </c>
      <c r="G22" t="n">
        <v>0</v>
      </c>
      <c r="H22" t="inlineStr">
        <is>
          <t>Papelao</t>
        </is>
      </c>
      <c r="I22" t="n">
        <v>3</v>
      </c>
      <c r="J22" s="10" t="n"/>
      <c r="K22" s="10" t="n"/>
      <c r="L22" s="10" t="n"/>
      <c r="M22" s="10" t="n"/>
    </row>
    <row r="23">
      <c r="A23" t="n">
        <v>22</v>
      </c>
      <c r="B23" t="n">
        <v>1</v>
      </c>
      <c r="C23" t="inlineStr">
        <is>
          <t>TAG2</t>
        </is>
      </c>
      <c r="D23" t="n">
        <v>2</v>
      </c>
      <c r="E23" t="n">
        <v>150</v>
      </c>
      <c r="F23" t="n">
        <v>150</v>
      </c>
      <c r="G23" t="n">
        <v>0</v>
      </c>
      <c r="H23" t="inlineStr">
        <is>
          <t>Papelao</t>
        </is>
      </c>
      <c r="I23" t="n">
        <v>3</v>
      </c>
      <c r="J23" s="10" t="n"/>
      <c r="K23" s="10" t="n"/>
      <c r="L23" s="10" t="n"/>
      <c r="M23" s="10" t="n"/>
    </row>
    <row r="24">
      <c r="A24" t="n">
        <v>23</v>
      </c>
      <c r="B24" t="n">
        <v>1</v>
      </c>
      <c r="C24" t="inlineStr">
        <is>
          <t>TAG2</t>
        </is>
      </c>
      <c r="D24" t="n">
        <v>3</v>
      </c>
      <c r="E24" t="n">
        <v>150</v>
      </c>
      <c r="F24" t="n">
        <v>150</v>
      </c>
      <c r="G24" t="n">
        <v>0</v>
      </c>
      <c r="H24" t="inlineStr">
        <is>
          <t>Papelao</t>
        </is>
      </c>
      <c r="I24" t="n">
        <v>3</v>
      </c>
      <c r="J24" s="10" t="n"/>
      <c r="K24" s="10" t="n"/>
      <c r="L24" s="10" t="n"/>
      <c r="M24" s="10" t="n"/>
    </row>
    <row r="25">
      <c r="A25" t="n">
        <v>24</v>
      </c>
      <c r="B25" t="n">
        <v>1</v>
      </c>
      <c r="C25" t="inlineStr">
        <is>
          <t>TAG2</t>
        </is>
      </c>
      <c r="D25" t="n">
        <v>4</v>
      </c>
      <c r="E25" t="n">
        <v>150</v>
      </c>
      <c r="F25" t="n">
        <v>150</v>
      </c>
      <c r="G25" t="n">
        <v>0</v>
      </c>
      <c r="H25" t="inlineStr">
        <is>
          <t>Papelao</t>
        </is>
      </c>
      <c r="I25" t="n">
        <v>3</v>
      </c>
      <c r="J25" s="10" t="n"/>
      <c r="K25" s="10" t="n"/>
      <c r="L25" s="10" t="n"/>
      <c r="M25" s="10" t="n"/>
    </row>
    <row r="26">
      <c r="A26" t="n">
        <v>25</v>
      </c>
      <c r="B26" t="n">
        <v>1</v>
      </c>
      <c r="C26" t="inlineStr">
        <is>
          <t>TAG2</t>
        </is>
      </c>
      <c r="D26" t="n">
        <v>5</v>
      </c>
      <c r="E26" t="n">
        <v>150</v>
      </c>
      <c r="F26" t="n">
        <v>150</v>
      </c>
      <c r="G26" t="n">
        <v>0</v>
      </c>
      <c r="H26" t="inlineStr">
        <is>
          <t>Papelao</t>
        </is>
      </c>
      <c r="I26" t="n">
        <v>3</v>
      </c>
      <c r="J26" s="10" t="n"/>
      <c r="K26" s="10" t="n"/>
      <c r="L26" s="10" t="n"/>
      <c r="M26" s="10" t="n"/>
    </row>
    <row r="27">
      <c r="A27" t="n">
        <v>26</v>
      </c>
      <c r="B27" t="n">
        <v>1</v>
      </c>
      <c r="C27" t="inlineStr">
        <is>
          <t>TAG3</t>
        </is>
      </c>
      <c r="D27" t="n">
        <v>1</v>
      </c>
      <c r="E27" t="n">
        <v>150</v>
      </c>
      <c r="F27" t="n">
        <v>150</v>
      </c>
      <c r="G27" t="n">
        <v>0</v>
      </c>
      <c r="H27" t="inlineStr">
        <is>
          <t>Papelao</t>
        </is>
      </c>
      <c r="I27" t="n">
        <v>3</v>
      </c>
      <c r="J27" s="10" t="n"/>
      <c r="K27" s="10" t="n"/>
      <c r="L27" s="10" t="n"/>
      <c r="M27" s="10" t="n"/>
    </row>
    <row r="28">
      <c r="A28" t="n">
        <v>27</v>
      </c>
      <c r="B28" t="n">
        <v>1</v>
      </c>
      <c r="C28" t="inlineStr">
        <is>
          <t>TAG3</t>
        </is>
      </c>
      <c r="D28" t="n">
        <v>2</v>
      </c>
      <c r="E28" t="n">
        <v>150</v>
      </c>
      <c r="F28" t="n">
        <v>150</v>
      </c>
      <c r="G28" t="n">
        <v>0</v>
      </c>
      <c r="H28" t="inlineStr">
        <is>
          <t>Papelao</t>
        </is>
      </c>
      <c r="I28" t="n">
        <v>3</v>
      </c>
      <c r="J28" s="10" t="n"/>
      <c r="K28" s="10" t="n"/>
      <c r="L28" s="10" t="n"/>
      <c r="M28" s="10" t="n"/>
    </row>
    <row r="29">
      <c r="A29" t="n">
        <v>28</v>
      </c>
      <c r="B29" t="n">
        <v>1</v>
      </c>
      <c r="C29" t="inlineStr">
        <is>
          <t>TAG3</t>
        </is>
      </c>
      <c r="D29" t="n">
        <v>3</v>
      </c>
      <c r="E29" t="n">
        <v>150</v>
      </c>
      <c r="F29" t="n">
        <v>150</v>
      </c>
      <c r="G29" t="n">
        <v>0</v>
      </c>
      <c r="H29" t="inlineStr">
        <is>
          <t>Papelao</t>
        </is>
      </c>
      <c r="I29" t="n">
        <v>3</v>
      </c>
      <c r="J29" s="10" t="n"/>
      <c r="K29" s="10" t="n"/>
      <c r="L29" s="10" t="n"/>
      <c r="M29" s="10" t="n"/>
    </row>
    <row r="30">
      <c r="A30" t="n">
        <v>29</v>
      </c>
      <c r="B30" t="n">
        <v>1</v>
      </c>
      <c r="C30" t="inlineStr">
        <is>
          <t>TAG3</t>
        </is>
      </c>
      <c r="D30" t="n">
        <v>4</v>
      </c>
      <c r="E30" t="n">
        <v>150</v>
      </c>
      <c r="F30" t="n">
        <v>150</v>
      </c>
      <c r="G30" t="n">
        <v>0</v>
      </c>
      <c r="H30" t="inlineStr">
        <is>
          <t>Papelao</t>
        </is>
      </c>
      <c r="I30" t="n">
        <v>3</v>
      </c>
      <c r="J30" s="10" t="n"/>
      <c r="K30" s="10" t="n"/>
      <c r="L30" s="10" t="n"/>
      <c r="M30" s="10" t="n"/>
    </row>
    <row r="31">
      <c r="A31" t="n">
        <v>30</v>
      </c>
      <c r="B31" t="n">
        <v>1</v>
      </c>
      <c r="C31" t="inlineStr">
        <is>
          <t>TAG3</t>
        </is>
      </c>
      <c r="D31" t="n">
        <v>5</v>
      </c>
      <c r="E31" t="n">
        <v>150</v>
      </c>
      <c r="F31" t="n">
        <v>150</v>
      </c>
      <c r="G31" t="n">
        <v>0</v>
      </c>
      <c r="H31" t="inlineStr">
        <is>
          <t>Papelao</t>
        </is>
      </c>
      <c r="I31" t="n">
        <v>3</v>
      </c>
      <c r="J31" s="10" t="n"/>
      <c r="K31" s="10" t="n"/>
      <c r="L31" s="10" t="n"/>
      <c r="M31" s="10" t="n"/>
    </row>
    <row r="32">
      <c r="A32" t="n">
        <v>31</v>
      </c>
      <c r="B32" t="n">
        <v>1.5</v>
      </c>
      <c r="C32" t="inlineStr">
        <is>
          <t>TAG1</t>
        </is>
      </c>
      <c r="D32" t="n">
        <v>1</v>
      </c>
      <c r="E32" t="n">
        <v>150</v>
      </c>
      <c r="F32" t="n">
        <v>150</v>
      </c>
      <c r="G32" t="n">
        <v>0</v>
      </c>
      <c r="H32" t="inlineStr">
        <is>
          <t>Papelao</t>
        </is>
      </c>
      <c r="I32" t="n">
        <v>3</v>
      </c>
      <c r="J32" s="10" t="n"/>
      <c r="K32" s="10" t="n"/>
      <c r="L32" s="10" t="n"/>
      <c r="M32" s="10" t="n"/>
    </row>
    <row r="33">
      <c r="A33" t="n">
        <v>32</v>
      </c>
      <c r="B33" t="n">
        <v>1.5</v>
      </c>
      <c r="C33" t="inlineStr">
        <is>
          <t>TAG1</t>
        </is>
      </c>
      <c r="D33" t="n">
        <v>2</v>
      </c>
      <c r="E33" t="n">
        <v>150</v>
      </c>
      <c r="F33" t="n">
        <v>150</v>
      </c>
      <c r="G33" t="n">
        <v>0</v>
      </c>
      <c r="H33" t="inlineStr">
        <is>
          <t>Papelao</t>
        </is>
      </c>
      <c r="I33" t="n">
        <v>3</v>
      </c>
      <c r="J33" s="10" t="n"/>
      <c r="K33" s="10" t="n"/>
      <c r="L33" s="10" t="n"/>
      <c r="M33" s="10" t="n"/>
    </row>
    <row r="34">
      <c r="A34" t="n">
        <v>33</v>
      </c>
      <c r="B34" t="n">
        <v>1.5</v>
      </c>
      <c r="C34" t="inlineStr">
        <is>
          <t>TAG1</t>
        </is>
      </c>
      <c r="D34" t="n">
        <v>3</v>
      </c>
      <c r="E34" t="n">
        <v>150</v>
      </c>
      <c r="F34" t="n">
        <v>150</v>
      </c>
      <c r="G34" t="n">
        <v>0</v>
      </c>
      <c r="H34" t="inlineStr">
        <is>
          <t>Papelao</t>
        </is>
      </c>
      <c r="I34" t="n">
        <v>3</v>
      </c>
      <c r="J34" s="10" t="n"/>
      <c r="K34" s="10" t="n"/>
      <c r="L34" s="10" t="n"/>
      <c r="M34" s="10" t="n"/>
    </row>
    <row r="35">
      <c r="A35" t="n">
        <v>34</v>
      </c>
      <c r="B35" t="n">
        <v>1.5</v>
      </c>
      <c r="C35" t="inlineStr">
        <is>
          <t>TAG1</t>
        </is>
      </c>
      <c r="D35" t="n">
        <v>4</v>
      </c>
      <c r="E35" t="n">
        <v>150</v>
      </c>
      <c r="F35" t="n">
        <v>150</v>
      </c>
      <c r="G35" t="n">
        <v>0</v>
      </c>
      <c r="H35" t="inlineStr">
        <is>
          <t>Papelao</t>
        </is>
      </c>
      <c r="I35" t="n">
        <v>3</v>
      </c>
      <c r="J35" s="10" t="n"/>
      <c r="K35" s="10" t="n"/>
      <c r="L35" s="10" t="n"/>
      <c r="M35" s="10" t="n"/>
    </row>
    <row r="36">
      <c r="A36" t="n">
        <v>35</v>
      </c>
      <c r="B36" t="n">
        <v>1.5</v>
      </c>
      <c r="C36" t="inlineStr">
        <is>
          <t>TAG1</t>
        </is>
      </c>
      <c r="D36" t="n">
        <v>5</v>
      </c>
      <c r="E36" t="n">
        <v>150</v>
      </c>
      <c r="F36" t="n">
        <v>150</v>
      </c>
      <c r="G36" t="n">
        <v>0</v>
      </c>
      <c r="H36" t="inlineStr">
        <is>
          <t>Papelao</t>
        </is>
      </c>
      <c r="I36" t="n">
        <v>3</v>
      </c>
      <c r="J36" s="10" t="n"/>
      <c r="K36" s="10" t="n"/>
      <c r="L36" s="10" t="n"/>
      <c r="M36" s="10" t="n"/>
    </row>
    <row r="37">
      <c r="A37" t="n">
        <v>36</v>
      </c>
      <c r="B37" t="n">
        <v>1.5</v>
      </c>
      <c r="C37" t="inlineStr">
        <is>
          <t>TAG2</t>
        </is>
      </c>
      <c r="D37" t="n">
        <v>1</v>
      </c>
      <c r="E37" t="n">
        <v>150</v>
      </c>
      <c r="F37" t="n">
        <v>150</v>
      </c>
      <c r="G37" t="n">
        <v>0</v>
      </c>
      <c r="H37" t="inlineStr">
        <is>
          <t>Papelao</t>
        </is>
      </c>
      <c r="I37" t="n">
        <v>3</v>
      </c>
      <c r="J37" s="10" t="n"/>
      <c r="K37" s="10" t="n"/>
      <c r="L37" s="10" t="n"/>
      <c r="M37" s="10" t="n"/>
    </row>
    <row r="38">
      <c r="A38" t="n">
        <v>37</v>
      </c>
      <c r="B38" t="n">
        <v>1.5</v>
      </c>
      <c r="C38" t="inlineStr">
        <is>
          <t>TAG2</t>
        </is>
      </c>
      <c r="D38" t="n">
        <v>2</v>
      </c>
      <c r="E38" t="n">
        <v>150</v>
      </c>
      <c r="F38" t="n">
        <v>150</v>
      </c>
      <c r="G38" t="n">
        <v>0</v>
      </c>
      <c r="H38" t="inlineStr">
        <is>
          <t>Papelao</t>
        </is>
      </c>
      <c r="I38" t="n">
        <v>3</v>
      </c>
      <c r="J38" s="10" t="n"/>
      <c r="K38" s="10" t="n"/>
      <c r="L38" s="10" t="n"/>
      <c r="M38" s="10" t="n"/>
    </row>
    <row r="39">
      <c r="A39" t="n">
        <v>38</v>
      </c>
      <c r="B39" t="n">
        <v>1.5</v>
      </c>
      <c r="C39" t="inlineStr">
        <is>
          <t>TAG2</t>
        </is>
      </c>
      <c r="D39" t="n">
        <v>3</v>
      </c>
      <c r="E39" t="n">
        <v>150</v>
      </c>
      <c r="F39" t="n">
        <v>150</v>
      </c>
      <c r="G39" t="n">
        <v>0</v>
      </c>
      <c r="H39" t="inlineStr">
        <is>
          <t>Papelao</t>
        </is>
      </c>
      <c r="I39" t="n">
        <v>3</v>
      </c>
      <c r="J39" s="10" t="n"/>
      <c r="K39" s="10" t="n"/>
      <c r="L39" s="10" t="n"/>
      <c r="M39" s="10" t="n"/>
    </row>
    <row r="40">
      <c r="A40" t="n">
        <v>39</v>
      </c>
      <c r="B40" t="n">
        <v>1.5</v>
      </c>
      <c r="C40" t="inlineStr">
        <is>
          <t>TAG2</t>
        </is>
      </c>
      <c r="D40" t="n">
        <v>4</v>
      </c>
      <c r="E40" t="n">
        <v>150</v>
      </c>
      <c r="F40" t="n">
        <v>150</v>
      </c>
      <c r="G40" t="n">
        <v>0</v>
      </c>
      <c r="H40" t="inlineStr">
        <is>
          <t>Papelao</t>
        </is>
      </c>
      <c r="I40" t="n">
        <v>3</v>
      </c>
      <c r="J40" s="10" t="n"/>
      <c r="K40" s="10" t="n"/>
      <c r="L40" s="10" t="n"/>
      <c r="M40" s="10" t="n"/>
    </row>
    <row r="41">
      <c r="A41" t="n">
        <v>40</v>
      </c>
      <c r="B41" t="n">
        <v>1.5</v>
      </c>
      <c r="C41" t="inlineStr">
        <is>
          <t>TAG2</t>
        </is>
      </c>
      <c r="D41" t="n">
        <v>5</v>
      </c>
      <c r="E41" t="n">
        <v>150</v>
      </c>
      <c r="F41" t="n">
        <v>150</v>
      </c>
      <c r="G41" t="n">
        <v>0</v>
      </c>
      <c r="H41" t="inlineStr">
        <is>
          <t>Papelao</t>
        </is>
      </c>
      <c r="I41" t="n">
        <v>3</v>
      </c>
      <c r="J41" s="10" t="n"/>
      <c r="K41" s="10" t="n"/>
      <c r="L41" s="10" t="n"/>
      <c r="M41" s="10" t="n"/>
    </row>
    <row r="42">
      <c r="A42" t="n">
        <v>41</v>
      </c>
      <c r="B42" t="n">
        <v>1.5</v>
      </c>
      <c r="C42" t="inlineStr">
        <is>
          <t>TAG3</t>
        </is>
      </c>
      <c r="D42" t="n">
        <v>1</v>
      </c>
      <c r="E42" t="n">
        <v>150</v>
      </c>
      <c r="F42" t="n">
        <v>150</v>
      </c>
      <c r="G42" t="n">
        <v>0</v>
      </c>
      <c r="H42" t="inlineStr">
        <is>
          <t>Papelao</t>
        </is>
      </c>
      <c r="I42" t="n">
        <v>3</v>
      </c>
      <c r="J42" s="10" t="n"/>
      <c r="K42" s="10" t="n"/>
      <c r="L42" s="10" t="n"/>
      <c r="M42" s="10" t="n"/>
    </row>
    <row r="43">
      <c r="A43" t="n">
        <v>42</v>
      </c>
      <c r="B43" t="n">
        <v>1.5</v>
      </c>
      <c r="C43" t="inlineStr">
        <is>
          <t>TAG3</t>
        </is>
      </c>
      <c r="D43" t="n">
        <v>2</v>
      </c>
      <c r="E43" t="n">
        <v>150</v>
      </c>
      <c r="F43" t="n">
        <v>150</v>
      </c>
      <c r="G43" t="n">
        <v>0</v>
      </c>
      <c r="H43" t="inlineStr">
        <is>
          <t>Papelao</t>
        </is>
      </c>
      <c r="I43" t="n">
        <v>3</v>
      </c>
      <c r="J43" s="10" t="n"/>
      <c r="K43" s="10" t="n"/>
      <c r="L43" s="10" t="n"/>
      <c r="M43" s="10" t="n"/>
    </row>
    <row r="44">
      <c r="A44" t="n">
        <v>43</v>
      </c>
      <c r="B44" t="n">
        <v>1.5</v>
      </c>
      <c r="C44" t="inlineStr">
        <is>
          <t>TAG3</t>
        </is>
      </c>
      <c r="D44" t="n">
        <v>3</v>
      </c>
      <c r="E44" t="n">
        <v>150</v>
      </c>
      <c r="F44" t="n">
        <v>150</v>
      </c>
      <c r="G44" t="n">
        <v>0</v>
      </c>
      <c r="H44" t="inlineStr">
        <is>
          <t>Papelao</t>
        </is>
      </c>
      <c r="I44" t="n">
        <v>3</v>
      </c>
      <c r="J44" s="10" t="n"/>
      <c r="K44" s="10" t="n"/>
      <c r="L44" s="10" t="n"/>
      <c r="M44" s="10" t="n"/>
    </row>
    <row r="45">
      <c r="A45" t="n">
        <v>44</v>
      </c>
      <c r="B45" t="n">
        <v>1.5</v>
      </c>
      <c r="C45" t="inlineStr">
        <is>
          <t>TAG3</t>
        </is>
      </c>
      <c r="D45" t="n">
        <v>4</v>
      </c>
      <c r="E45" t="n">
        <v>150</v>
      </c>
      <c r="F45" t="n">
        <v>150</v>
      </c>
      <c r="G45" t="n">
        <v>0</v>
      </c>
      <c r="H45" t="inlineStr">
        <is>
          <t>Papelao</t>
        </is>
      </c>
      <c r="I45" t="n">
        <v>3</v>
      </c>
      <c r="J45" s="10" t="n"/>
      <c r="K45" s="10" t="n"/>
      <c r="L45" s="10" t="n"/>
      <c r="M45" s="10" t="n"/>
    </row>
    <row r="46">
      <c r="A46" t="n">
        <v>45</v>
      </c>
      <c r="B46" t="n">
        <v>1.5</v>
      </c>
      <c r="C46" t="inlineStr">
        <is>
          <t>TAG3</t>
        </is>
      </c>
      <c r="D46" t="n">
        <v>5</v>
      </c>
      <c r="E46" t="n">
        <v>150</v>
      </c>
      <c r="F46" t="n">
        <v>150</v>
      </c>
      <c r="G46" t="n">
        <v>0</v>
      </c>
      <c r="H46" t="inlineStr">
        <is>
          <t>Papelao</t>
        </is>
      </c>
      <c r="I46" t="n">
        <v>3</v>
      </c>
      <c r="J46" s="10" t="n"/>
      <c r="K46" s="10" t="n"/>
      <c r="L46" s="10" t="n"/>
      <c r="M46" s="10" t="n"/>
    </row>
    <row r="47">
      <c r="A47" t="n">
        <v>46</v>
      </c>
      <c r="B47" t="n">
        <v>2</v>
      </c>
      <c r="C47" t="inlineStr">
        <is>
          <t>TAG1</t>
        </is>
      </c>
      <c r="D47" t="n">
        <v>1</v>
      </c>
      <c r="E47" t="n">
        <v>150</v>
      </c>
      <c r="F47" t="n">
        <v>150</v>
      </c>
      <c r="G47" t="n">
        <v>0</v>
      </c>
      <c r="H47" t="inlineStr">
        <is>
          <t>Papelao</t>
        </is>
      </c>
      <c r="I47" t="n">
        <v>3</v>
      </c>
      <c r="J47" s="10" t="n"/>
      <c r="K47" s="10" t="n"/>
      <c r="L47" s="10" t="n"/>
      <c r="M47" s="10" t="n"/>
    </row>
    <row r="48">
      <c r="A48" t="n">
        <v>47</v>
      </c>
      <c r="B48" t="n">
        <v>2</v>
      </c>
      <c r="C48" t="inlineStr">
        <is>
          <t>TAG1</t>
        </is>
      </c>
      <c r="D48" t="n">
        <v>2</v>
      </c>
      <c r="E48" t="n">
        <v>150</v>
      </c>
      <c r="F48" t="n">
        <v>150</v>
      </c>
      <c r="G48" t="n">
        <v>0</v>
      </c>
      <c r="H48" t="inlineStr">
        <is>
          <t>Papelao</t>
        </is>
      </c>
      <c r="I48" t="n">
        <v>3</v>
      </c>
      <c r="J48" s="10" t="n"/>
      <c r="K48" s="10" t="n"/>
      <c r="L48" s="10" t="n"/>
      <c r="M48" s="10" t="n"/>
    </row>
    <row r="49">
      <c r="A49" t="n">
        <v>48</v>
      </c>
      <c r="B49" t="n">
        <v>2</v>
      </c>
      <c r="C49" t="inlineStr">
        <is>
          <t>TAG1</t>
        </is>
      </c>
      <c r="D49" t="n">
        <v>3</v>
      </c>
      <c r="E49" t="n">
        <v>150</v>
      </c>
      <c r="F49" t="n">
        <v>150</v>
      </c>
      <c r="G49" t="n">
        <v>0</v>
      </c>
      <c r="H49" t="inlineStr">
        <is>
          <t>Papelao</t>
        </is>
      </c>
      <c r="I49" t="n">
        <v>3</v>
      </c>
      <c r="J49" s="10" t="n"/>
      <c r="K49" s="10" t="n"/>
      <c r="L49" s="10" t="n"/>
      <c r="M49" s="10" t="n"/>
    </row>
    <row r="50">
      <c r="A50" t="n">
        <v>49</v>
      </c>
      <c r="B50" t="n">
        <v>2</v>
      </c>
      <c r="C50" t="inlineStr">
        <is>
          <t>TAG1</t>
        </is>
      </c>
      <c r="D50" t="n">
        <v>4</v>
      </c>
      <c r="E50" t="n">
        <v>150</v>
      </c>
      <c r="F50" t="n">
        <v>150</v>
      </c>
      <c r="G50" t="n">
        <v>0</v>
      </c>
      <c r="H50" t="inlineStr">
        <is>
          <t>Papelao</t>
        </is>
      </c>
      <c r="I50" t="n">
        <v>3</v>
      </c>
      <c r="J50" s="10" t="n"/>
      <c r="K50" s="10" t="n"/>
      <c r="L50" s="10" t="n"/>
      <c r="M50" s="10" t="n"/>
    </row>
    <row r="51">
      <c r="A51" t="n">
        <v>50</v>
      </c>
      <c r="B51" t="n">
        <v>2</v>
      </c>
      <c r="C51" t="inlineStr">
        <is>
          <t>TAG1</t>
        </is>
      </c>
      <c r="D51" t="n">
        <v>5</v>
      </c>
      <c r="E51" t="n">
        <v>150</v>
      </c>
      <c r="F51" t="n">
        <v>150</v>
      </c>
      <c r="G51" t="n">
        <v>0</v>
      </c>
      <c r="H51" t="inlineStr">
        <is>
          <t>Papelao</t>
        </is>
      </c>
      <c r="I51" t="n">
        <v>3</v>
      </c>
      <c r="J51" s="10" t="n"/>
      <c r="K51" s="10" t="n"/>
      <c r="L51" s="10" t="n"/>
      <c r="M51" s="10" t="n"/>
    </row>
    <row r="52">
      <c r="A52" t="n">
        <v>51</v>
      </c>
      <c r="B52" t="n">
        <v>2</v>
      </c>
      <c r="C52" t="inlineStr">
        <is>
          <t>TAG2</t>
        </is>
      </c>
      <c r="D52" t="n">
        <v>1</v>
      </c>
      <c r="E52" t="n">
        <v>150</v>
      </c>
      <c r="F52" t="n">
        <v>150</v>
      </c>
      <c r="G52" t="n">
        <v>0</v>
      </c>
      <c r="H52" t="inlineStr">
        <is>
          <t>Papelao</t>
        </is>
      </c>
      <c r="I52" t="n">
        <v>3</v>
      </c>
      <c r="J52" s="10" t="n"/>
      <c r="K52" s="10" t="n"/>
      <c r="L52" s="10" t="n"/>
      <c r="M52" s="10" t="n"/>
    </row>
    <row r="53">
      <c r="A53" t="n">
        <v>52</v>
      </c>
      <c r="B53" t="n">
        <v>2</v>
      </c>
      <c r="C53" t="inlineStr">
        <is>
          <t>TAG2</t>
        </is>
      </c>
      <c r="D53" t="n">
        <v>2</v>
      </c>
      <c r="E53" t="n">
        <v>150</v>
      </c>
      <c r="F53" t="n">
        <v>150</v>
      </c>
      <c r="G53" t="n">
        <v>0</v>
      </c>
      <c r="H53" t="inlineStr">
        <is>
          <t>Papelao</t>
        </is>
      </c>
      <c r="I53" t="n">
        <v>3</v>
      </c>
      <c r="J53" s="10" t="n"/>
      <c r="K53" s="10" t="n"/>
      <c r="L53" s="10" t="n"/>
      <c r="M53" s="10" t="n"/>
    </row>
    <row r="54">
      <c r="A54" t="n">
        <v>53</v>
      </c>
      <c r="B54" t="n">
        <v>2</v>
      </c>
      <c r="C54" t="inlineStr">
        <is>
          <t>TAG2</t>
        </is>
      </c>
      <c r="D54" t="n">
        <v>3</v>
      </c>
      <c r="E54" t="n">
        <v>150</v>
      </c>
      <c r="F54" t="n">
        <v>150</v>
      </c>
      <c r="G54" t="n">
        <v>0</v>
      </c>
      <c r="H54" t="inlineStr">
        <is>
          <t>Papelao</t>
        </is>
      </c>
      <c r="I54" t="n">
        <v>3</v>
      </c>
      <c r="J54" s="10" t="n"/>
      <c r="K54" s="10" t="n"/>
      <c r="L54" s="10" t="n"/>
      <c r="M54" s="10" t="n"/>
    </row>
    <row r="55">
      <c r="A55" t="n">
        <v>54</v>
      </c>
      <c r="B55" t="n">
        <v>2</v>
      </c>
      <c r="C55" t="inlineStr">
        <is>
          <t>TAG2</t>
        </is>
      </c>
      <c r="D55" t="n">
        <v>4</v>
      </c>
      <c r="E55" t="n">
        <v>150</v>
      </c>
      <c r="F55" t="n">
        <v>150</v>
      </c>
      <c r="G55" t="n">
        <v>0</v>
      </c>
      <c r="H55" t="inlineStr">
        <is>
          <t>Papelao</t>
        </is>
      </c>
      <c r="I55" t="n">
        <v>3</v>
      </c>
      <c r="J55" s="10" t="n"/>
      <c r="K55" s="10" t="n"/>
      <c r="L55" s="10" t="n"/>
      <c r="M55" s="10" t="n"/>
    </row>
    <row r="56">
      <c r="A56" t="n">
        <v>55</v>
      </c>
      <c r="B56" t="n">
        <v>2</v>
      </c>
      <c r="C56" t="inlineStr">
        <is>
          <t>TAG2</t>
        </is>
      </c>
      <c r="D56" t="n">
        <v>5</v>
      </c>
      <c r="E56" t="n">
        <v>150</v>
      </c>
      <c r="F56" t="n">
        <v>150</v>
      </c>
      <c r="G56" t="n">
        <v>0</v>
      </c>
      <c r="H56" t="inlineStr">
        <is>
          <t>Papelao</t>
        </is>
      </c>
      <c r="I56" t="n">
        <v>3</v>
      </c>
      <c r="J56" s="10" t="n"/>
      <c r="K56" s="10" t="n"/>
      <c r="L56" s="10" t="n"/>
      <c r="M56" s="10" t="n"/>
    </row>
    <row r="57">
      <c r="A57" t="n">
        <v>56</v>
      </c>
      <c r="B57" t="n">
        <v>2</v>
      </c>
      <c r="C57" t="inlineStr">
        <is>
          <t>TAG3</t>
        </is>
      </c>
      <c r="D57" t="n">
        <v>1</v>
      </c>
      <c r="E57" t="n">
        <v>150</v>
      </c>
      <c r="F57" t="n">
        <v>150</v>
      </c>
      <c r="G57" t="n">
        <v>0</v>
      </c>
      <c r="H57" t="inlineStr">
        <is>
          <t>Papelao</t>
        </is>
      </c>
      <c r="I57" t="n">
        <v>3</v>
      </c>
      <c r="J57" s="10" t="n"/>
      <c r="K57" s="10" t="n"/>
      <c r="L57" s="10" t="n"/>
      <c r="M57" s="10" t="n"/>
    </row>
    <row r="58">
      <c r="A58" t="n">
        <v>57</v>
      </c>
      <c r="B58" t="n">
        <v>2</v>
      </c>
      <c r="C58" t="inlineStr">
        <is>
          <t>TAG3</t>
        </is>
      </c>
      <c r="D58" t="n">
        <v>2</v>
      </c>
      <c r="E58" t="n">
        <v>150</v>
      </c>
      <c r="F58" t="n">
        <v>150</v>
      </c>
      <c r="G58" t="n">
        <v>0</v>
      </c>
      <c r="H58" t="inlineStr">
        <is>
          <t>Papelao</t>
        </is>
      </c>
      <c r="I58" t="n">
        <v>3</v>
      </c>
      <c r="J58" s="10" t="n"/>
      <c r="K58" s="10" t="n"/>
      <c r="L58" s="10" t="n"/>
      <c r="M58" s="10" t="n"/>
    </row>
    <row r="59">
      <c r="A59" t="n">
        <v>58</v>
      </c>
      <c r="B59" t="n">
        <v>2</v>
      </c>
      <c r="C59" t="inlineStr">
        <is>
          <t>TAG3</t>
        </is>
      </c>
      <c r="D59" t="n">
        <v>3</v>
      </c>
      <c r="E59" t="n">
        <v>150</v>
      </c>
      <c r="F59" t="n">
        <v>150</v>
      </c>
      <c r="G59" t="n">
        <v>0</v>
      </c>
      <c r="H59" t="inlineStr">
        <is>
          <t>Papelao</t>
        </is>
      </c>
      <c r="I59" t="n">
        <v>3</v>
      </c>
      <c r="J59" s="10" t="n"/>
      <c r="K59" s="10" t="n"/>
      <c r="L59" s="10" t="n"/>
      <c r="M59" s="10" t="n"/>
    </row>
    <row r="60">
      <c r="A60" t="n">
        <v>59</v>
      </c>
      <c r="B60" t="n">
        <v>2</v>
      </c>
      <c r="C60" t="inlineStr">
        <is>
          <t>TAG3</t>
        </is>
      </c>
      <c r="D60" t="n">
        <v>4</v>
      </c>
      <c r="E60" t="n">
        <v>150</v>
      </c>
      <c r="F60" t="n">
        <v>150</v>
      </c>
      <c r="G60" t="n">
        <v>0</v>
      </c>
      <c r="H60" t="inlineStr">
        <is>
          <t>Papelao</t>
        </is>
      </c>
      <c r="I60" t="n">
        <v>3</v>
      </c>
      <c r="J60" s="10" t="n"/>
      <c r="K60" s="10" t="n"/>
      <c r="L60" s="10" t="n"/>
      <c r="M60" s="10" t="n"/>
    </row>
    <row r="61">
      <c r="A61" t="n">
        <v>60</v>
      </c>
      <c r="B61" t="n">
        <v>2</v>
      </c>
      <c r="C61" t="inlineStr">
        <is>
          <t>TAG3</t>
        </is>
      </c>
      <c r="D61" t="n">
        <v>5</v>
      </c>
      <c r="E61" t="n">
        <v>150</v>
      </c>
      <c r="F61" t="n">
        <v>150</v>
      </c>
      <c r="G61" t="n">
        <v>0</v>
      </c>
      <c r="H61" t="inlineStr">
        <is>
          <t>Papelao</t>
        </is>
      </c>
      <c r="I61" t="n">
        <v>3</v>
      </c>
      <c r="J61" s="10" t="n"/>
      <c r="K61" s="10" t="n"/>
      <c r="L61" s="10" t="n"/>
      <c r="M61" s="10" t="n"/>
    </row>
  </sheetData>
  <autoFilter ref="A1:M61"/>
  <conditionalFormatting sqref="J2:J61">
    <cfRule type="cellIs" priority="1" operator="equal" dxfId="0">
      <formula>0</formula>
    </cfRule>
    <cfRule type="cellIs" priority="2" operator="equal" dxfId="1">
      <formula>1</formula>
    </cfRule>
  </conditionalFormatting>
  <dataValidations count="1">
    <dataValidation sqref="J2:J61" showDropDown="0" showInputMessage="0" showErrorMessage="0" allowBlank="1" errorTitle="Valor inválido" error="Digite somente 0 ou 1." promptTitle="Resultado da tentativa" prompt="1 = detectou; 0 = não detectou." type="list">
      <formula1>"0,1"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1" customWidth="1" min="3" max="3"/>
    <col width="10" customWidth="1" min="4" max="4"/>
    <col width="15" customWidth="1" min="5" max="5"/>
    <col width="18" customWidth="1" min="6" max="6"/>
    <col width="16" customWidth="1" min="7" max="7"/>
    <col width="21" customWidth="1" min="8" max="8"/>
    <col width="18" customWidth="1" min="9" max="9"/>
    <col width="16" customWidth="1" min="10" max="10"/>
    <col width="38" customWidth="1" min="11" max="11"/>
    <col width="24" customWidth="1" min="12" max="12"/>
    <col width="55" customWidth="1" min="13" max="13"/>
  </cols>
  <sheetData>
    <row r="1" ht="34" customHeight="1">
      <c r="A1" s="2" t="inlineStr">
        <is>
          <t>ordem</t>
        </is>
      </c>
      <c r="B1" s="2" t="inlineStr">
        <is>
          <t>orientacao_graus</t>
        </is>
      </c>
      <c r="C1" s="2" t="inlineStr">
        <is>
          <t>tag_id</t>
        </is>
      </c>
      <c r="D1" s="2" t="inlineStr">
        <is>
          <t>tentativa</t>
        </is>
      </c>
      <c r="E1" s="2" t="inlineStr">
        <is>
          <t>distancia_m</t>
        </is>
      </c>
      <c r="F1" s="2" t="inlineStr">
        <is>
          <t>altura_antena_cm</t>
        </is>
      </c>
      <c r="G1" s="2" t="inlineStr">
        <is>
          <t>altura_tag_cm</t>
        </is>
      </c>
      <c r="H1" s="2" t="inlineStr">
        <is>
          <t>material_suporte</t>
        </is>
      </c>
      <c r="I1" s="2" t="inlineStr">
        <is>
          <t>duracao_janela_s</t>
        </is>
      </c>
      <c r="J1" s="2" t="inlineStr">
        <is>
          <t>detectou_0_1</t>
        </is>
      </c>
      <c r="K1" s="2" t="inlineStr">
        <is>
          <t>epc_observado</t>
        </is>
      </c>
      <c r="L1" s="2" t="inlineStr">
        <is>
          <t>tempo_primeira_leitura_s</t>
        </is>
      </c>
      <c r="M1" s="2" t="inlineStr">
        <is>
          <t>observacoes</t>
        </is>
      </c>
    </row>
    <row r="2">
      <c r="A2" t="n">
        <v>1</v>
      </c>
      <c r="B2" t="n">
        <v>0</v>
      </c>
      <c r="C2" t="inlineStr">
        <is>
          <t>TAG1</t>
        </is>
      </c>
      <c r="D2" t="n">
        <v>1</v>
      </c>
      <c r="E2" t="n">
        <v>1.5</v>
      </c>
      <c r="F2" t="n">
        <v>150</v>
      </c>
      <c r="G2" t="n">
        <v>150</v>
      </c>
      <c r="H2" t="inlineStr">
        <is>
          <t>Papelao</t>
        </is>
      </c>
      <c r="I2" t="n">
        <v>3</v>
      </c>
      <c r="J2" s="10" t="n"/>
      <c r="K2" s="10" t="n"/>
      <c r="L2" s="10" t="n"/>
      <c r="M2" s="10" t="n"/>
    </row>
    <row r="3">
      <c r="A3" t="n">
        <v>2</v>
      </c>
      <c r="B3" t="n">
        <v>0</v>
      </c>
      <c r="C3" t="inlineStr">
        <is>
          <t>TAG1</t>
        </is>
      </c>
      <c r="D3" t="n">
        <v>2</v>
      </c>
      <c r="E3" t="n">
        <v>1.5</v>
      </c>
      <c r="F3" t="n">
        <v>150</v>
      </c>
      <c r="G3" t="n">
        <v>150</v>
      </c>
      <c r="H3" t="inlineStr">
        <is>
          <t>Papelao</t>
        </is>
      </c>
      <c r="I3" t="n">
        <v>3</v>
      </c>
      <c r="J3" s="10" t="n"/>
      <c r="K3" s="10" t="n"/>
      <c r="L3" s="10" t="n"/>
      <c r="M3" s="10" t="n"/>
    </row>
    <row r="4">
      <c r="A4" t="n">
        <v>3</v>
      </c>
      <c r="B4" t="n">
        <v>0</v>
      </c>
      <c r="C4" t="inlineStr">
        <is>
          <t>TAG1</t>
        </is>
      </c>
      <c r="D4" t="n">
        <v>3</v>
      </c>
      <c r="E4" t="n">
        <v>1.5</v>
      </c>
      <c r="F4" t="n">
        <v>150</v>
      </c>
      <c r="G4" t="n">
        <v>150</v>
      </c>
      <c r="H4" t="inlineStr">
        <is>
          <t>Papelao</t>
        </is>
      </c>
      <c r="I4" t="n">
        <v>3</v>
      </c>
      <c r="J4" s="10" t="n"/>
      <c r="K4" s="10" t="n"/>
      <c r="L4" s="10" t="n"/>
      <c r="M4" s="10" t="n"/>
    </row>
    <row r="5">
      <c r="A5" t="n">
        <v>4</v>
      </c>
      <c r="B5" t="n">
        <v>0</v>
      </c>
      <c r="C5" t="inlineStr">
        <is>
          <t>TAG1</t>
        </is>
      </c>
      <c r="D5" t="n">
        <v>4</v>
      </c>
      <c r="E5" t="n">
        <v>1.5</v>
      </c>
      <c r="F5" t="n">
        <v>150</v>
      </c>
      <c r="G5" t="n">
        <v>150</v>
      </c>
      <c r="H5" t="inlineStr">
        <is>
          <t>Papelao</t>
        </is>
      </c>
      <c r="I5" t="n">
        <v>3</v>
      </c>
      <c r="J5" s="10" t="n"/>
      <c r="K5" s="10" t="n"/>
      <c r="L5" s="10" t="n"/>
      <c r="M5" s="10" t="n"/>
    </row>
    <row r="6">
      <c r="A6" t="n">
        <v>5</v>
      </c>
      <c r="B6" t="n">
        <v>0</v>
      </c>
      <c r="C6" t="inlineStr">
        <is>
          <t>TAG1</t>
        </is>
      </c>
      <c r="D6" t="n">
        <v>5</v>
      </c>
      <c r="E6" t="n">
        <v>1.5</v>
      </c>
      <c r="F6" t="n">
        <v>150</v>
      </c>
      <c r="G6" t="n">
        <v>150</v>
      </c>
      <c r="H6" t="inlineStr">
        <is>
          <t>Papelao</t>
        </is>
      </c>
      <c r="I6" t="n">
        <v>3</v>
      </c>
      <c r="J6" s="10" t="n"/>
      <c r="K6" s="10" t="n"/>
      <c r="L6" s="10" t="n"/>
      <c r="M6" s="10" t="n"/>
    </row>
    <row r="7">
      <c r="A7" t="n">
        <v>6</v>
      </c>
      <c r="B7" t="n">
        <v>0</v>
      </c>
      <c r="C7" t="inlineStr">
        <is>
          <t>TAG2</t>
        </is>
      </c>
      <c r="D7" t="n">
        <v>1</v>
      </c>
      <c r="E7" t="n">
        <v>1.5</v>
      </c>
      <c r="F7" t="n">
        <v>150</v>
      </c>
      <c r="G7" t="n">
        <v>150</v>
      </c>
      <c r="H7" t="inlineStr">
        <is>
          <t>Papelao</t>
        </is>
      </c>
      <c r="I7" t="n">
        <v>3</v>
      </c>
      <c r="J7" s="10" t="n"/>
      <c r="K7" s="10" t="n"/>
      <c r="L7" s="10" t="n"/>
      <c r="M7" s="10" t="n"/>
    </row>
    <row r="8">
      <c r="A8" t="n">
        <v>7</v>
      </c>
      <c r="B8" t="n">
        <v>0</v>
      </c>
      <c r="C8" t="inlineStr">
        <is>
          <t>TAG2</t>
        </is>
      </c>
      <c r="D8" t="n">
        <v>2</v>
      </c>
      <c r="E8" t="n">
        <v>1.5</v>
      </c>
      <c r="F8" t="n">
        <v>150</v>
      </c>
      <c r="G8" t="n">
        <v>150</v>
      </c>
      <c r="H8" t="inlineStr">
        <is>
          <t>Papelao</t>
        </is>
      </c>
      <c r="I8" t="n">
        <v>3</v>
      </c>
      <c r="J8" s="10" t="n"/>
      <c r="K8" s="10" t="n"/>
      <c r="L8" s="10" t="n"/>
      <c r="M8" s="10" t="n"/>
    </row>
    <row r="9">
      <c r="A9" t="n">
        <v>8</v>
      </c>
      <c r="B9" t="n">
        <v>0</v>
      </c>
      <c r="C9" t="inlineStr">
        <is>
          <t>TAG2</t>
        </is>
      </c>
      <c r="D9" t="n">
        <v>3</v>
      </c>
      <c r="E9" t="n">
        <v>1.5</v>
      </c>
      <c r="F9" t="n">
        <v>150</v>
      </c>
      <c r="G9" t="n">
        <v>150</v>
      </c>
      <c r="H9" t="inlineStr">
        <is>
          <t>Papelao</t>
        </is>
      </c>
      <c r="I9" t="n">
        <v>3</v>
      </c>
      <c r="J9" s="10" t="n"/>
      <c r="K9" s="10" t="n"/>
      <c r="L9" s="10" t="n"/>
      <c r="M9" s="10" t="n"/>
    </row>
    <row r="10">
      <c r="A10" t="n">
        <v>9</v>
      </c>
      <c r="B10" t="n">
        <v>0</v>
      </c>
      <c r="C10" t="inlineStr">
        <is>
          <t>TAG2</t>
        </is>
      </c>
      <c r="D10" t="n">
        <v>4</v>
      </c>
      <c r="E10" t="n">
        <v>1.5</v>
      </c>
      <c r="F10" t="n">
        <v>150</v>
      </c>
      <c r="G10" t="n">
        <v>150</v>
      </c>
      <c r="H10" t="inlineStr">
        <is>
          <t>Papelao</t>
        </is>
      </c>
      <c r="I10" t="n">
        <v>3</v>
      </c>
      <c r="J10" s="10" t="n"/>
      <c r="K10" s="10" t="n"/>
      <c r="L10" s="10" t="n"/>
      <c r="M10" s="10" t="n"/>
    </row>
    <row r="11">
      <c r="A11" t="n">
        <v>10</v>
      </c>
      <c r="B11" t="n">
        <v>0</v>
      </c>
      <c r="C11" t="inlineStr">
        <is>
          <t>TAG2</t>
        </is>
      </c>
      <c r="D11" t="n">
        <v>5</v>
      </c>
      <c r="E11" t="n">
        <v>1.5</v>
      </c>
      <c r="F11" t="n">
        <v>150</v>
      </c>
      <c r="G11" t="n">
        <v>150</v>
      </c>
      <c r="H11" t="inlineStr">
        <is>
          <t>Papelao</t>
        </is>
      </c>
      <c r="I11" t="n">
        <v>3</v>
      </c>
      <c r="J11" s="10" t="n"/>
      <c r="K11" s="10" t="n"/>
      <c r="L11" s="10" t="n"/>
      <c r="M11" s="10" t="n"/>
    </row>
    <row r="12">
      <c r="A12" t="n">
        <v>11</v>
      </c>
      <c r="B12" t="n">
        <v>0</v>
      </c>
      <c r="C12" t="inlineStr">
        <is>
          <t>TAG3</t>
        </is>
      </c>
      <c r="D12" t="n">
        <v>1</v>
      </c>
      <c r="E12" t="n">
        <v>1.5</v>
      </c>
      <c r="F12" t="n">
        <v>150</v>
      </c>
      <c r="G12" t="n">
        <v>150</v>
      </c>
      <c r="H12" t="inlineStr">
        <is>
          <t>Papelao</t>
        </is>
      </c>
      <c r="I12" t="n">
        <v>3</v>
      </c>
      <c r="J12" s="10" t="n"/>
      <c r="K12" s="10" t="n"/>
      <c r="L12" s="10" t="n"/>
      <c r="M12" s="10" t="n"/>
    </row>
    <row r="13">
      <c r="A13" t="n">
        <v>12</v>
      </c>
      <c r="B13" t="n">
        <v>0</v>
      </c>
      <c r="C13" t="inlineStr">
        <is>
          <t>TAG3</t>
        </is>
      </c>
      <c r="D13" t="n">
        <v>2</v>
      </c>
      <c r="E13" t="n">
        <v>1.5</v>
      </c>
      <c r="F13" t="n">
        <v>150</v>
      </c>
      <c r="G13" t="n">
        <v>150</v>
      </c>
      <c r="H13" t="inlineStr">
        <is>
          <t>Papelao</t>
        </is>
      </c>
      <c r="I13" t="n">
        <v>3</v>
      </c>
      <c r="J13" s="10" t="n"/>
      <c r="K13" s="10" t="n"/>
      <c r="L13" s="10" t="n"/>
      <c r="M13" s="10" t="n"/>
    </row>
    <row r="14">
      <c r="A14" t="n">
        <v>13</v>
      </c>
      <c r="B14" t="n">
        <v>0</v>
      </c>
      <c r="C14" t="inlineStr">
        <is>
          <t>TAG3</t>
        </is>
      </c>
      <c r="D14" t="n">
        <v>3</v>
      </c>
      <c r="E14" t="n">
        <v>1.5</v>
      </c>
      <c r="F14" t="n">
        <v>150</v>
      </c>
      <c r="G14" t="n">
        <v>150</v>
      </c>
      <c r="H14" t="inlineStr">
        <is>
          <t>Papelao</t>
        </is>
      </c>
      <c r="I14" t="n">
        <v>3</v>
      </c>
      <c r="J14" s="10" t="n"/>
      <c r="K14" s="10" t="n"/>
      <c r="L14" s="10" t="n"/>
      <c r="M14" s="10" t="n"/>
    </row>
    <row r="15">
      <c r="A15" t="n">
        <v>14</v>
      </c>
      <c r="B15" t="n">
        <v>0</v>
      </c>
      <c r="C15" t="inlineStr">
        <is>
          <t>TAG3</t>
        </is>
      </c>
      <c r="D15" t="n">
        <v>4</v>
      </c>
      <c r="E15" t="n">
        <v>1.5</v>
      </c>
      <c r="F15" t="n">
        <v>150</v>
      </c>
      <c r="G15" t="n">
        <v>150</v>
      </c>
      <c r="H15" t="inlineStr">
        <is>
          <t>Papelao</t>
        </is>
      </c>
      <c r="I15" t="n">
        <v>3</v>
      </c>
      <c r="J15" s="10" t="n"/>
      <c r="K15" s="10" t="n"/>
      <c r="L15" s="10" t="n"/>
      <c r="M15" s="10" t="n"/>
    </row>
    <row r="16">
      <c r="A16" t="n">
        <v>15</v>
      </c>
      <c r="B16" t="n">
        <v>0</v>
      </c>
      <c r="C16" t="inlineStr">
        <is>
          <t>TAG3</t>
        </is>
      </c>
      <c r="D16" t="n">
        <v>5</v>
      </c>
      <c r="E16" t="n">
        <v>1.5</v>
      </c>
      <c r="F16" t="n">
        <v>150</v>
      </c>
      <c r="G16" t="n">
        <v>150</v>
      </c>
      <c r="H16" t="inlineStr">
        <is>
          <t>Papelao</t>
        </is>
      </c>
      <c r="I16" t="n">
        <v>3</v>
      </c>
      <c r="J16" s="10" t="n"/>
      <c r="K16" s="10" t="n"/>
      <c r="L16" s="10" t="n"/>
      <c r="M16" s="10" t="n"/>
    </row>
    <row r="17">
      <c r="A17" t="n">
        <v>16</v>
      </c>
      <c r="B17" t="n">
        <v>45</v>
      </c>
      <c r="C17" t="inlineStr">
        <is>
          <t>TAG1</t>
        </is>
      </c>
      <c r="D17" t="n">
        <v>1</v>
      </c>
      <c r="E17" t="n">
        <v>1.5</v>
      </c>
      <c r="F17" t="n">
        <v>150</v>
      </c>
      <c r="G17" t="n">
        <v>150</v>
      </c>
      <c r="H17" t="inlineStr">
        <is>
          <t>Papelao</t>
        </is>
      </c>
      <c r="I17" t="n">
        <v>3</v>
      </c>
      <c r="J17" s="10" t="n"/>
      <c r="K17" s="10" t="n"/>
      <c r="L17" s="10" t="n"/>
      <c r="M17" s="10" t="n"/>
    </row>
    <row r="18">
      <c r="A18" t="n">
        <v>17</v>
      </c>
      <c r="B18" t="n">
        <v>45</v>
      </c>
      <c r="C18" t="inlineStr">
        <is>
          <t>TAG1</t>
        </is>
      </c>
      <c r="D18" t="n">
        <v>2</v>
      </c>
      <c r="E18" t="n">
        <v>1.5</v>
      </c>
      <c r="F18" t="n">
        <v>150</v>
      </c>
      <c r="G18" t="n">
        <v>150</v>
      </c>
      <c r="H18" t="inlineStr">
        <is>
          <t>Papelao</t>
        </is>
      </c>
      <c r="I18" t="n">
        <v>3</v>
      </c>
      <c r="J18" s="10" t="n"/>
      <c r="K18" s="10" t="n"/>
      <c r="L18" s="10" t="n"/>
      <c r="M18" s="10" t="n"/>
    </row>
    <row r="19">
      <c r="A19" t="n">
        <v>18</v>
      </c>
      <c r="B19" t="n">
        <v>45</v>
      </c>
      <c r="C19" t="inlineStr">
        <is>
          <t>TAG1</t>
        </is>
      </c>
      <c r="D19" t="n">
        <v>3</v>
      </c>
      <c r="E19" t="n">
        <v>1.5</v>
      </c>
      <c r="F19" t="n">
        <v>150</v>
      </c>
      <c r="G19" t="n">
        <v>150</v>
      </c>
      <c r="H19" t="inlineStr">
        <is>
          <t>Papelao</t>
        </is>
      </c>
      <c r="I19" t="n">
        <v>3</v>
      </c>
      <c r="J19" s="10" t="n"/>
      <c r="K19" s="10" t="n"/>
      <c r="L19" s="10" t="n"/>
      <c r="M19" s="10" t="n"/>
    </row>
    <row r="20">
      <c r="A20" t="n">
        <v>19</v>
      </c>
      <c r="B20" t="n">
        <v>45</v>
      </c>
      <c r="C20" t="inlineStr">
        <is>
          <t>TAG1</t>
        </is>
      </c>
      <c r="D20" t="n">
        <v>4</v>
      </c>
      <c r="E20" t="n">
        <v>1.5</v>
      </c>
      <c r="F20" t="n">
        <v>150</v>
      </c>
      <c r="G20" t="n">
        <v>150</v>
      </c>
      <c r="H20" t="inlineStr">
        <is>
          <t>Papelao</t>
        </is>
      </c>
      <c r="I20" t="n">
        <v>3</v>
      </c>
      <c r="J20" s="10" t="n"/>
      <c r="K20" s="10" t="n"/>
      <c r="L20" s="10" t="n"/>
      <c r="M20" s="10" t="n"/>
    </row>
    <row r="21">
      <c r="A21" t="n">
        <v>20</v>
      </c>
      <c r="B21" t="n">
        <v>45</v>
      </c>
      <c r="C21" t="inlineStr">
        <is>
          <t>TAG1</t>
        </is>
      </c>
      <c r="D21" t="n">
        <v>5</v>
      </c>
      <c r="E21" t="n">
        <v>1.5</v>
      </c>
      <c r="F21" t="n">
        <v>150</v>
      </c>
      <c r="G21" t="n">
        <v>150</v>
      </c>
      <c r="H21" t="inlineStr">
        <is>
          <t>Papelao</t>
        </is>
      </c>
      <c r="I21" t="n">
        <v>3</v>
      </c>
      <c r="J21" s="10" t="n"/>
      <c r="K21" s="10" t="n"/>
      <c r="L21" s="10" t="n"/>
      <c r="M21" s="10" t="n"/>
    </row>
    <row r="22">
      <c r="A22" t="n">
        <v>21</v>
      </c>
      <c r="B22" t="n">
        <v>45</v>
      </c>
      <c r="C22" t="inlineStr">
        <is>
          <t>TAG2</t>
        </is>
      </c>
      <c r="D22" t="n">
        <v>1</v>
      </c>
      <c r="E22" t="n">
        <v>1.5</v>
      </c>
      <c r="F22" t="n">
        <v>150</v>
      </c>
      <c r="G22" t="n">
        <v>150</v>
      </c>
      <c r="H22" t="inlineStr">
        <is>
          <t>Papelao</t>
        </is>
      </c>
      <c r="I22" t="n">
        <v>3</v>
      </c>
      <c r="J22" s="10" t="n"/>
      <c r="K22" s="10" t="n"/>
      <c r="L22" s="10" t="n"/>
      <c r="M22" s="10" t="n"/>
    </row>
    <row r="23">
      <c r="A23" t="n">
        <v>22</v>
      </c>
      <c r="B23" t="n">
        <v>45</v>
      </c>
      <c r="C23" t="inlineStr">
        <is>
          <t>TAG2</t>
        </is>
      </c>
      <c r="D23" t="n">
        <v>2</v>
      </c>
      <c r="E23" t="n">
        <v>1.5</v>
      </c>
      <c r="F23" t="n">
        <v>150</v>
      </c>
      <c r="G23" t="n">
        <v>150</v>
      </c>
      <c r="H23" t="inlineStr">
        <is>
          <t>Papelao</t>
        </is>
      </c>
      <c r="I23" t="n">
        <v>3</v>
      </c>
      <c r="J23" s="10" t="n"/>
      <c r="K23" s="10" t="n"/>
      <c r="L23" s="10" t="n"/>
      <c r="M23" s="10" t="n"/>
    </row>
    <row r="24">
      <c r="A24" t="n">
        <v>23</v>
      </c>
      <c r="B24" t="n">
        <v>45</v>
      </c>
      <c r="C24" t="inlineStr">
        <is>
          <t>TAG2</t>
        </is>
      </c>
      <c r="D24" t="n">
        <v>3</v>
      </c>
      <c r="E24" t="n">
        <v>1.5</v>
      </c>
      <c r="F24" t="n">
        <v>150</v>
      </c>
      <c r="G24" t="n">
        <v>150</v>
      </c>
      <c r="H24" t="inlineStr">
        <is>
          <t>Papelao</t>
        </is>
      </c>
      <c r="I24" t="n">
        <v>3</v>
      </c>
      <c r="J24" s="10" t="n"/>
      <c r="K24" s="10" t="n"/>
      <c r="L24" s="10" t="n"/>
      <c r="M24" s="10" t="n"/>
    </row>
    <row r="25">
      <c r="A25" t="n">
        <v>24</v>
      </c>
      <c r="B25" t="n">
        <v>45</v>
      </c>
      <c r="C25" t="inlineStr">
        <is>
          <t>TAG2</t>
        </is>
      </c>
      <c r="D25" t="n">
        <v>4</v>
      </c>
      <c r="E25" t="n">
        <v>1.5</v>
      </c>
      <c r="F25" t="n">
        <v>150</v>
      </c>
      <c r="G25" t="n">
        <v>150</v>
      </c>
      <c r="H25" t="inlineStr">
        <is>
          <t>Papelao</t>
        </is>
      </c>
      <c r="I25" t="n">
        <v>3</v>
      </c>
      <c r="J25" s="10" t="n"/>
      <c r="K25" s="10" t="n"/>
      <c r="L25" s="10" t="n"/>
      <c r="M25" s="10" t="n"/>
    </row>
    <row r="26">
      <c r="A26" t="n">
        <v>25</v>
      </c>
      <c r="B26" t="n">
        <v>45</v>
      </c>
      <c r="C26" t="inlineStr">
        <is>
          <t>TAG2</t>
        </is>
      </c>
      <c r="D26" t="n">
        <v>5</v>
      </c>
      <c r="E26" t="n">
        <v>1.5</v>
      </c>
      <c r="F26" t="n">
        <v>150</v>
      </c>
      <c r="G26" t="n">
        <v>150</v>
      </c>
      <c r="H26" t="inlineStr">
        <is>
          <t>Papelao</t>
        </is>
      </c>
      <c r="I26" t="n">
        <v>3</v>
      </c>
      <c r="J26" s="10" t="n"/>
      <c r="K26" s="10" t="n"/>
      <c r="L26" s="10" t="n"/>
      <c r="M26" s="10" t="n"/>
    </row>
    <row r="27">
      <c r="A27" t="n">
        <v>26</v>
      </c>
      <c r="B27" t="n">
        <v>45</v>
      </c>
      <c r="C27" t="inlineStr">
        <is>
          <t>TAG3</t>
        </is>
      </c>
      <c r="D27" t="n">
        <v>1</v>
      </c>
      <c r="E27" t="n">
        <v>1.5</v>
      </c>
      <c r="F27" t="n">
        <v>150</v>
      </c>
      <c r="G27" t="n">
        <v>150</v>
      </c>
      <c r="H27" t="inlineStr">
        <is>
          <t>Papelao</t>
        </is>
      </c>
      <c r="I27" t="n">
        <v>3</v>
      </c>
      <c r="J27" s="10" t="n"/>
      <c r="K27" s="10" t="n"/>
      <c r="L27" s="10" t="n"/>
      <c r="M27" s="10" t="n"/>
    </row>
    <row r="28">
      <c r="A28" t="n">
        <v>27</v>
      </c>
      <c r="B28" t="n">
        <v>45</v>
      </c>
      <c r="C28" t="inlineStr">
        <is>
          <t>TAG3</t>
        </is>
      </c>
      <c r="D28" t="n">
        <v>2</v>
      </c>
      <c r="E28" t="n">
        <v>1.5</v>
      </c>
      <c r="F28" t="n">
        <v>150</v>
      </c>
      <c r="G28" t="n">
        <v>150</v>
      </c>
      <c r="H28" t="inlineStr">
        <is>
          <t>Papelao</t>
        </is>
      </c>
      <c r="I28" t="n">
        <v>3</v>
      </c>
      <c r="J28" s="10" t="n"/>
      <c r="K28" s="10" t="n"/>
      <c r="L28" s="10" t="n"/>
      <c r="M28" s="10" t="n"/>
    </row>
    <row r="29">
      <c r="A29" t="n">
        <v>28</v>
      </c>
      <c r="B29" t="n">
        <v>45</v>
      </c>
      <c r="C29" t="inlineStr">
        <is>
          <t>TAG3</t>
        </is>
      </c>
      <c r="D29" t="n">
        <v>3</v>
      </c>
      <c r="E29" t="n">
        <v>1.5</v>
      </c>
      <c r="F29" t="n">
        <v>150</v>
      </c>
      <c r="G29" t="n">
        <v>150</v>
      </c>
      <c r="H29" t="inlineStr">
        <is>
          <t>Papelao</t>
        </is>
      </c>
      <c r="I29" t="n">
        <v>3</v>
      </c>
      <c r="J29" s="10" t="n"/>
      <c r="K29" s="10" t="n"/>
      <c r="L29" s="10" t="n"/>
      <c r="M29" s="10" t="n"/>
    </row>
    <row r="30">
      <c r="A30" t="n">
        <v>29</v>
      </c>
      <c r="B30" t="n">
        <v>45</v>
      </c>
      <c r="C30" t="inlineStr">
        <is>
          <t>TAG3</t>
        </is>
      </c>
      <c r="D30" t="n">
        <v>4</v>
      </c>
      <c r="E30" t="n">
        <v>1.5</v>
      </c>
      <c r="F30" t="n">
        <v>150</v>
      </c>
      <c r="G30" t="n">
        <v>150</v>
      </c>
      <c r="H30" t="inlineStr">
        <is>
          <t>Papelao</t>
        </is>
      </c>
      <c r="I30" t="n">
        <v>3</v>
      </c>
      <c r="J30" s="10" t="n"/>
      <c r="K30" s="10" t="n"/>
      <c r="L30" s="10" t="n"/>
      <c r="M30" s="10" t="n"/>
    </row>
    <row r="31">
      <c r="A31" t="n">
        <v>30</v>
      </c>
      <c r="B31" t="n">
        <v>45</v>
      </c>
      <c r="C31" t="inlineStr">
        <is>
          <t>TAG3</t>
        </is>
      </c>
      <c r="D31" t="n">
        <v>5</v>
      </c>
      <c r="E31" t="n">
        <v>1.5</v>
      </c>
      <c r="F31" t="n">
        <v>150</v>
      </c>
      <c r="G31" t="n">
        <v>150</v>
      </c>
      <c r="H31" t="inlineStr">
        <is>
          <t>Papelao</t>
        </is>
      </c>
      <c r="I31" t="n">
        <v>3</v>
      </c>
      <c r="J31" s="10" t="n"/>
      <c r="K31" s="10" t="n"/>
      <c r="L31" s="10" t="n"/>
      <c r="M31" s="10" t="n"/>
    </row>
    <row r="32">
      <c r="A32" t="n">
        <v>31</v>
      </c>
      <c r="B32" t="n">
        <v>90</v>
      </c>
      <c r="C32" t="inlineStr">
        <is>
          <t>TAG1</t>
        </is>
      </c>
      <c r="D32" t="n">
        <v>1</v>
      </c>
      <c r="E32" t="n">
        <v>1.5</v>
      </c>
      <c r="F32" t="n">
        <v>150</v>
      </c>
      <c r="G32" t="n">
        <v>150</v>
      </c>
      <c r="H32" t="inlineStr">
        <is>
          <t>Papelao</t>
        </is>
      </c>
      <c r="I32" t="n">
        <v>3</v>
      </c>
      <c r="J32" s="10" t="n"/>
      <c r="K32" s="10" t="n"/>
      <c r="L32" s="10" t="n"/>
      <c r="M32" s="10" t="n"/>
    </row>
    <row r="33">
      <c r="A33" t="n">
        <v>32</v>
      </c>
      <c r="B33" t="n">
        <v>90</v>
      </c>
      <c r="C33" t="inlineStr">
        <is>
          <t>TAG1</t>
        </is>
      </c>
      <c r="D33" t="n">
        <v>2</v>
      </c>
      <c r="E33" t="n">
        <v>1.5</v>
      </c>
      <c r="F33" t="n">
        <v>150</v>
      </c>
      <c r="G33" t="n">
        <v>150</v>
      </c>
      <c r="H33" t="inlineStr">
        <is>
          <t>Papelao</t>
        </is>
      </c>
      <c r="I33" t="n">
        <v>3</v>
      </c>
      <c r="J33" s="10" t="n"/>
      <c r="K33" s="10" t="n"/>
      <c r="L33" s="10" t="n"/>
      <c r="M33" s="10" t="n"/>
    </row>
    <row r="34">
      <c r="A34" t="n">
        <v>33</v>
      </c>
      <c r="B34" t="n">
        <v>90</v>
      </c>
      <c r="C34" t="inlineStr">
        <is>
          <t>TAG1</t>
        </is>
      </c>
      <c r="D34" t="n">
        <v>3</v>
      </c>
      <c r="E34" t="n">
        <v>1.5</v>
      </c>
      <c r="F34" t="n">
        <v>150</v>
      </c>
      <c r="G34" t="n">
        <v>150</v>
      </c>
      <c r="H34" t="inlineStr">
        <is>
          <t>Papelao</t>
        </is>
      </c>
      <c r="I34" t="n">
        <v>3</v>
      </c>
      <c r="J34" s="10" t="n"/>
      <c r="K34" s="10" t="n"/>
      <c r="L34" s="10" t="n"/>
      <c r="M34" s="10" t="n"/>
    </row>
    <row r="35">
      <c r="A35" t="n">
        <v>34</v>
      </c>
      <c r="B35" t="n">
        <v>90</v>
      </c>
      <c r="C35" t="inlineStr">
        <is>
          <t>TAG1</t>
        </is>
      </c>
      <c r="D35" t="n">
        <v>4</v>
      </c>
      <c r="E35" t="n">
        <v>1.5</v>
      </c>
      <c r="F35" t="n">
        <v>150</v>
      </c>
      <c r="G35" t="n">
        <v>150</v>
      </c>
      <c r="H35" t="inlineStr">
        <is>
          <t>Papelao</t>
        </is>
      </c>
      <c r="I35" t="n">
        <v>3</v>
      </c>
      <c r="J35" s="10" t="n"/>
      <c r="K35" s="10" t="n"/>
      <c r="L35" s="10" t="n"/>
      <c r="M35" s="10" t="n"/>
    </row>
    <row r="36">
      <c r="A36" t="n">
        <v>35</v>
      </c>
      <c r="B36" t="n">
        <v>90</v>
      </c>
      <c r="C36" t="inlineStr">
        <is>
          <t>TAG1</t>
        </is>
      </c>
      <c r="D36" t="n">
        <v>5</v>
      </c>
      <c r="E36" t="n">
        <v>1.5</v>
      </c>
      <c r="F36" t="n">
        <v>150</v>
      </c>
      <c r="G36" t="n">
        <v>150</v>
      </c>
      <c r="H36" t="inlineStr">
        <is>
          <t>Papelao</t>
        </is>
      </c>
      <c r="I36" t="n">
        <v>3</v>
      </c>
      <c r="J36" s="10" t="n"/>
      <c r="K36" s="10" t="n"/>
      <c r="L36" s="10" t="n"/>
      <c r="M36" s="10" t="n"/>
    </row>
    <row r="37">
      <c r="A37" t="n">
        <v>36</v>
      </c>
      <c r="B37" t="n">
        <v>90</v>
      </c>
      <c r="C37" t="inlineStr">
        <is>
          <t>TAG2</t>
        </is>
      </c>
      <c r="D37" t="n">
        <v>1</v>
      </c>
      <c r="E37" t="n">
        <v>1.5</v>
      </c>
      <c r="F37" t="n">
        <v>150</v>
      </c>
      <c r="G37" t="n">
        <v>150</v>
      </c>
      <c r="H37" t="inlineStr">
        <is>
          <t>Papelao</t>
        </is>
      </c>
      <c r="I37" t="n">
        <v>3</v>
      </c>
      <c r="J37" s="10" t="n"/>
      <c r="K37" s="10" t="n"/>
      <c r="L37" s="10" t="n"/>
      <c r="M37" s="10" t="n"/>
    </row>
    <row r="38">
      <c r="A38" t="n">
        <v>37</v>
      </c>
      <c r="B38" t="n">
        <v>90</v>
      </c>
      <c r="C38" t="inlineStr">
        <is>
          <t>TAG2</t>
        </is>
      </c>
      <c r="D38" t="n">
        <v>2</v>
      </c>
      <c r="E38" t="n">
        <v>1.5</v>
      </c>
      <c r="F38" t="n">
        <v>150</v>
      </c>
      <c r="G38" t="n">
        <v>150</v>
      </c>
      <c r="H38" t="inlineStr">
        <is>
          <t>Papelao</t>
        </is>
      </c>
      <c r="I38" t="n">
        <v>3</v>
      </c>
      <c r="J38" s="10" t="n"/>
      <c r="K38" s="10" t="n"/>
      <c r="L38" s="10" t="n"/>
      <c r="M38" s="10" t="n"/>
    </row>
    <row r="39">
      <c r="A39" t="n">
        <v>38</v>
      </c>
      <c r="B39" t="n">
        <v>90</v>
      </c>
      <c r="C39" t="inlineStr">
        <is>
          <t>TAG2</t>
        </is>
      </c>
      <c r="D39" t="n">
        <v>3</v>
      </c>
      <c r="E39" t="n">
        <v>1.5</v>
      </c>
      <c r="F39" t="n">
        <v>150</v>
      </c>
      <c r="G39" t="n">
        <v>150</v>
      </c>
      <c r="H39" t="inlineStr">
        <is>
          <t>Papelao</t>
        </is>
      </c>
      <c r="I39" t="n">
        <v>3</v>
      </c>
      <c r="J39" s="10" t="n"/>
      <c r="K39" s="10" t="n"/>
      <c r="L39" s="10" t="n"/>
      <c r="M39" s="10" t="n"/>
    </row>
    <row r="40">
      <c r="A40" t="n">
        <v>39</v>
      </c>
      <c r="B40" t="n">
        <v>90</v>
      </c>
      <c r="C40" t="inlineStr">
        <is>
          <t>TAG2</t>
        </is>
      </c>
      <c r="D40" t="n">
        <v>4</v>
      </c>
      <c r="E40" t="n">
        <v>1.5</v>
      </c>
      <c r="F40" t="n">
        <v>150</v>
      </c>
      <c r="G40" t="n">
        <v>150</v>
      </c>
      <c r="H40" t="inlineStr">
        <is>
          <t>Papelao</t>
        </is>
      </c>
      <c r="I40" t="n">
        <v>3</v>
      </c>
      <c r="J40" s="10" t="n"/>
      <c r="K40" s="10" t="n"/>
      <c r="L40" s="10" t="n"/>
      <c r="M40" s="10" t="n"/>
    </row>
    <row r="41">
      <c r="A41" t="n">
        <v>40</v>
      </c>
      <c r="B41" t="n">
        <v>90</v>
      </c>
      <c r="C41" t="inlineStr">
        <is>
          <t>TAG2</t>
        </is>
      </c>
      <c r="D41" t="n">
        <v>5</v>
      </c>
      <c r="E41" t="n">
        <v>1.5</v>
      </c>
      <c r="F41" t="n">
        <v>150</v>
      </c>
      <c r="G41" t="n">
        <v>150</v>
      </c>
      <c r="H41" t="inlineStr">
        <is>
          <t>Papelao</t>
        </is>
      </c>
      <c r="I41" t="n">
        <v>3</v>
      </c>
      <c r="J41" s="10" t="n"/>
      <c r="K41" s="10" t="n"/>
      <c r="L41" s="10" t="n"/>
      <c r="M41" s="10" t="n"/>
    </row>
    <row r="42">
      <c r="A42" t="n">
        <v>41</v>
      </c>
      <c r="B42" t="n">
        <v>90</v>
      </c>
      <c r="C42" t="inlineStr">
        <is>
          <t>TAG3</t>
        </is>
      </c>
      <c r="D42" t="n">
        <v>1</v>
      </c>
      <c r="E42" t="n">
        <v>1.5</v>
      </c>
      <c r="F42" t="n">
        <v>150</v>
      </c>
      <c r="G42" t="n">
        <v>150</v>
      </c>
      <c r="H42" t="inlineStr">
        <is>
          <t>Papelao</t>
        </is>
      </c>
      <c r="I42" t="n">
        <v>3</v>
      </c>
      <c r="J42" s="10" t="n"/>
      <c r="K42" s="10" t="n"/>
      <c r="L42" s="10" t="n"/>
      <c r="M42" s="10" t="n"/>
    </row>
    <row r="43">
      <c r="A43" t="n">
        <v>42</v>
      </c>
      <c r="B43" t="n">
        <v>90</v>
      </c>
      <c r="C43" t="inlineStr">
        <is>
          <t>TAG3</t>
        </is>
      </c>
      <c r="D43" t="n">
        <v>2</v>
      </c>
      <c r="E43" t="n">
        <v>1.5</v>
      </c>
      <c r="F43" t="n">
        <v>150</v>
      </c>
      <c r="G43" t="n">
        <v>150</v>
      </c>
      <c r="H43" t="inlineStr">
        <is>
          <t>Papelao</t>
        </is>
      </c>
      <c r="I43" t="n">
        <v>3</v>
      </c>
      <c r="J43" s="10" t="n"/>
      <c r="K43" s="10" t="n"/>
      <c r="L43" s="10" t="n"/>
      <c r="M43" s="10" t="n"/>
    </row>
    <row r="44">
      <c r="A44" t="n">
        <v>43</v>
      </c>
      <c r="B44" t="n">
        <v>90</v>
      </c>
      <c r="C44" t="inlineStr">
        <is>
          <t>TAG3</t>
        </is>
      </c>
      <c r="D44" t="n">
        <v>3</v>
      </c>
      <c r="E44" t="n">
        <v>1.5</v>
      </c>
      <c r="F44" t="n">
        <v>150</v>
      </c>
      <c r="G44" t="n">
        <v>150</v>
      </c>
      <c r="H44" t="inlineStr">
        <is>
          <t>Papelao</t>
        </is>
      </c>
      <c r="I44" t="n">
        <v>3</v>
      </c>
      <c r="J44" s="10" t="n"/>
      <c r="K44" s="10" t="n"/>
      <c r="L44" s="10" t="n"/>
      <c r="M44" s="10" t="n"/>
    </row>
    <row r="45">
      <c r="A45" t="n">
        <v>44</v>
      </c>
      <c r="B45" t="n">
        <v>90</v>
      </c>
      <c r="C45" t="inlineStr">
        <is>
          <t>TAG3</t>
        </is>
      </c>
      <c r="D45" t="n">
        <v>4</v>
      </c>
      <c r="E45" t="n">
        <v>1.5</v>
      </c>
      <c r="F45" t="n">
        <v>150</v>
      </c>
      <c r="G45" t="n">
        <v>150</v>
      </c>
      <c r="H45" t="inlineStr">
        <is>
          <t>Papelao</t>
        </is>
      </c>
      <c r="I45" t="n">
        <v>3</v>
      </c>
      <c r="J45" s="10" t="n"/>
      <c r="K45" s="10" t="n"/>
      <c r="L45" s="10" t="n"/>
      <c r="M45" s="10" t="n"/>
    </row>
    <row r="46">
      <c r="A46" t="n">
        <v>45</v>
      </c>
      <c r="B46" t="n">
        <v>90</v>
      </c>
      <c r="C46" t="inlineStr">
        <is>
          <t>TAG3</t>
        </is>
      </c>
      <c r="D46" t="n">
        <v>5</v>
      </c>
      <c r="E46" t="n">
        <v>1.5</v>
      </c>
      <c r="F46" t="n">
        <v>150</v>
      </c>
      <c r="G46" t="n">
        <v>150</v>
      </c>
      <c r="H46" t="inlineStr">
        <is>
          <t>Papelao</t>
        </is>
      </c>
      <c r="I46" t="n">
        <v>3</v>
      </c>
      <c r="J46" s="10" t="n"/>
      <c r="K46" s="10" t="n"/>
      <c r="L46" s="10" t="n"/>
      <c r="M46" s="10" t="n"/>
    </row>
  </sheetData>
  <autoFilter ref="A1:M46"/>
  <conditionalFormatting sqref="J2:J46">
    <cfRule type="cellIs" priority="1" operator="equal" dxfId="0">
      <formula>0</formula>
    </cfRule>
    <cfRule type="cellIs" priority="2" operator="equal" dxfId="1">
      <formula>1</formula>
    </cfRule>
  </conditionalFormatting>
  <dataValidations count="1">
    <dataValidation sqref="J2:J46" showDropDown="0" showInputMessage="0" showErrorMessage="0" allowBlank="1" errorTitle="Valor inválido" error="Digite somente 0 ou 1." promptTitle="Resultado da tentativa" prompt="1 = detectou; 0 = não detectou." type="list">
      <formula1>"0,1"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6" customWidth="1" min="3" max="3"/>
    <col width="11" customWidth="1" min="4" max="4"/>
    <col width="10" customWidth="1" min="5" max="5"/>
    <col width="15" customWidth="1" min="6" max="6"/>
    <col width="18" customWidth="1" min="7" max="7"/>
    <col width="16" customWidth="1" min="8" max="8"/>
    <col width="18" customWidth="1" min="9" max="9"/>
    <col width="18" customWidth="1" min="10" max="10"/>
    <col width="16" customWidth="1" min="11" max="11"/>
    <col width="38" customWidth="1" min="12" max="12"/>
    <col width="24" customWidth="1" min="13" max="13"/>
    <col width="55" customWidth="1" min="14" max="14"/>
  </cols>
  <sheetData>
    <row r="1" ht="34" customHeight="1">
      <c r="A1" s="2" t="inlineStr">
        <is>
          <t>ordem</t>
        </is>
      </c>
      <c r="B1" s="2" t="inlineStr">
        <is>
          <t>material_suporte</t>
        </is>
      </c>
      <c r="C1" s="2" t="inlineStr">
        <is>
          <t>espacador_mm</t>
        </is>
      </c>
      <c r="D1" s="2" t="inlineStr">
        <is>
          <t>tag_id</t>
        </is>
      </c>
      <c r="E1" s="2" t="inlineStr">
        <is>
          <t>tentativa</t>
        </is>
      </c>
      <c r="F1" s="2" t="inlineStr">
        <is>
          <t>distancia_m</t>
        </is>
      </c>
      <c r="G1" s="2" t="inlineStr">
        <is>
          <t>altura_antena_cm</t>
        </is>
      </c>
      <c r="H1" s="2" t="inlineStr">
        <is>
          <t>altura_tag_cm</t>
        </is>
      </c>
      <c r="I1" s="2" t="inlineStr">
        <is>
          <t>orientacao_graus</t>
        </is>
      </c>
      <c r="J1" s="2" t="inlineStr">
        <is>
          <t>duracao_janela_s</t>
        </is>
      </c>
      <c r="K1" s="2" t="inlineStr">
        <is>
          <t>detectou_0_1</t>
        </is>
      </c>
      <c r="L1" s="2" t="inlineStr">
        <is>
          <t>epc_observado</t>
        </is>
      </c>
      <c r="M1" s="2" t="inlineStr">
        <is>
          <t>tempo_primeira_leitura_s</t>
        </is>
      </c>
      <c r="N1" s="2" t="inlineStr">
        <is>
          <t>observacoes</t>
        </is>
      </c>
    </row>
    <row r="2">
      <c r="A2" t="n">
        <v>1</v>
      </c>
      <c r="B2" t="inlineStr">
        <is>
          <t>Papelao</t>
        </is>
      </c>
      <c r="C2" t="n">
        <v>0</v>
      </c>
      <c r="D2" t="inlineStr">
        <is>
          <t>TAG1</t>
        </is>
      </c>
      <c r="E2" t="n">
        <v>1</v>
      </c>
      <c r="F2" t="n">
        <v>1.5</v>
      </c>
      <c r="G2" t="n">
        <v>150</v>
      </c>
      <c r="H2" t="n">
        <v>150</v>
      </c>
      <c r="I2" t="n">
        <v>0</v>
      </c>
      <c r="J2" t="n">
        <v>3</v>
      </c>
      <c r="K2" s="10" t="n"/>
      <c r="L2" s="10" t="n"/>
      <c r="M2" s="10" t="n"/>
      <c r="N2" s="10" t="n"/>
    </row>
    <row r="3">
      <c r="A3" t="n">
        <v>2</v>
      </c>
      <c r="B3" t="inlineStr">
        <is>
          <t>Papelao</t>
        </is>
      </c>
      <c r="C3" t="n">
        <v>0</v>
      </c>
      <c r="D3" t="inlineStr">
        <is>
          <t>TAG1</t>
        </is>
      </c>
      <c r="E3" t="n">
        <v>2</v>
      </c>
      <c r="F3" t="n">
        <v>1.5</v>
      </c>
      <c r="G3" t="n">
        <v>150</v>
      </c>
      <c r="H3" t="n">
        <v>150</v>
      </c>
      <c r="I3" t="n">
        <v>0</v>
      </c>
      <c r="J3" t="n">
        <v>3</v>
      </c>
      <c r="K3" s="10" t="n"/>
      <c r="L3" s="10" t="n"/>
      <c r="M3" s="10" t="n"/>
      <c r="N3" s="10" t="n"/>
    </row>
    <row r="4">
      <c r="A4" t="n">
        <v>3</v>
      </c>
      <c r="B4" t="inlineStr">
        <is>
          <t>Papelao</t>
        </is>
      </c>
      <c r="C4" t="n">
        <v>0</v>
      </c>
      <c r="D4" t="inlineStr">
        <is>
          <t>TAG1</t>
        </is>
      </c>
      <c r="E4" t="n">
        <v>3</v>
      </c>
      <c r="F4" t="n">
        <v>1.5</v>
      </c>
      <c r="G4" t="n">
        <v>150</v>
      </c>
      <c r="H4" t="n">
        <v>150</v>
      </c>
      <c r="I4" t="n">
        <v>0</v>
      </c>
      <c r="J4" t="n">
        <v>3</v>
      </c>
      <c r="K4" s="10" t="n"/>
      <c r="L4" s="10" t="n"/>
      <c r="M4" s="10" t="n"/>
      <c r="N4" s="10" t="n"/>
    </row>
    <row r="5">
      <c r="A5" t="n">
        <v>4</v>
      </c>
      <c r="B5" t="inlineStr">
        <is>
          <t>Papelao</t>
        </is>
      </c>
      <c r="C5" t="n">
        <v>0</v>
      </c>
      <c r="D5" t="inlineStr">
        <is>
          <t>TAG1</t>
        </is>
      </c>
      <c r="E5" t="n">
        <v>4</v>
      </c>
      <c r="F5" t="n">
        <v>1.5</v>
      </c>
      <c r="G5" t="n">
        <v>150</v>
      </c>
      <c r="H5" t="n">
        <v>150</v>
      </c>
      <c r="I5" t="n">
        <v>0</v>
      </c>
      <c r="J5" t="n">
        <v>3</v>
      </c>
      <c r="K5" s="10" t="n"/>
      <c r="L5" s="10" t="n"/>
      <c r="M5" s="10" t="n"/>
      <c r="N5" s="10" t="n"/>
    </row>
    <row r="6">
      <c r="A6" t="n">
        <v>5</v>
      </c>
      <c r="B6" t="inlineStr">
        <is>
          <t>Papelao</t>
        </is>
      </c>
      <c r="C6" t="n">
        <v>0</v>
      </c>
      <c r="D6" t="inlineStr">
        <is>
          <t>TAG1</t>
        </is>
      </c>
      <c r="E6" t="n">
        <v>5</v>
      </c>
      <c r="F6" t="n">
        <v>1.5</v>
      </c>
      <c r="G6" t="n">
        <v>150</v>
      </c>
      <c r="H6" t="n">
        <v>150</v>
      </c>
      <c r="I6" t="n">
        <v>0</v>
      </c>
      <c r="J6" t="n">
        <v>3</v>
      </c>
      <c r="K6" s="10" t="n"/>
      <c r="L6" s="10" t="n"/>
      <c r="M6" s="10" t="n"/>
      <c r="N6" s="10" t="n"/>
    </row>
    <row r="7">
      <c r="A7" t="n">
        <v>6</v>
      </c>
      <c r="B7" t="inlineStr">
        <is>
          <t>Metal direto</t>
        </is>
      </c>
      <c r="C7" t="n">
        <v>0</v>
      </c>
      <c r="D7" t="inlineStr">
        <is>
          <t>TAG1</t>
        </is>
      </c>
      <c r="E7" t="n">
        <v>1</v>
      </c>
      <c r="F7" t="n">
        <v>1.5</v>
      </c>
      <c r="G7" t="n">
        <v>150</v>
      </c>
      <c r="H7" t="n">
        <v>150</v>
      </c>
      <c r="I7" t="n">
        <v>0</v>
      </c>
      <c r="J7" t="n">
        <v>3</v>
      </c>
      <c r="K7" s="10" t="n"/>
      <c r="L7" s="10" t="n"/>
      <c r="M7" s="10" t="n"/>
      <c r="N7" s="10" t="n"/>
    </row>
    <row r="8">
      <c r="A8" t="n">
        <v>7</v>
      </c>
      <c r="B8" t="inlineStr">
        <is>
          <t>Metal direto</t>
        </is>
      </c>
      <c r="C8" t="n">
        <v>0</v>
      </c>
      <c r="D8" t="inlineStr">
        <is>
          <t>TAG1</t>
        </is>
      </c>
      <c r="E8" t="n">
        <v>2</v>
      </c>
      <c r="F8" t="n">
        <v>1.5</v>
      </c>
      <c r="G8" t="n">
        <v>150</v>
      </c>
      <c r="H8" t="n">
        <v>150</v>
      </c>
      <c r="I8" t="n">
        <v>0</v>
      </c>
      <c r="J8" t="n">
        <v>3</v>
      </c>
      <c r="K8" s="10" t="n"/>
      <c r="L8" s="10" t="n"/>
      <c r="M8" s="10" t="n"/>
      <c r="N8" s="10" t="n"/>
    </row>
    <row r="9">
      <c r="A9" t="n">
        <v>8</v>
      </c>
      <c r="B9" t="inlineStr">
        <is>
          <t>Metal direto</t>
        </is>
      </c>
      <c r="C9" t="n">
        <v>0</v>
      </c>
      <c r="D9" t="inlineStr">
        <is>
          <t>TAG1</t>
        </is>
      </c>
      <c r="E9" t="n">
        <v>3</v>
      </c>
      <c r="F9" t="n">
        <v>1.5</v>
      </c>
      <c r="G9" t="n">
        <v>150</v>
      </c>
      <c r="H9" t="n">
        <v>150</v>
      </c>
      <c r="I9" t="n">
        <v>0</v>
      </c>
      <c r="J9" t="n">
        <v>3</v>
      </c>
      <c r="K9" s="10" t="n"/>
      <c r="L9" s="10" t="n"/>
      <c r="M9" s="10" t="n"/>
      <c r="N9" s="10" t="n"/>
    </row>
    <row r="10">
      <c r="A10" t="n">
        <v>9</v>
      </c>
      <c r="B10" t="inlineStr">
        <is>
          <t>Metal direto</t>
        </is>
      </c>
      <c r="C10" t="n">
        <v>0</v>
      </c>
      <c r="D10" t="inlineStr">
        <is>
          <t>TAG1</t>
        </is>
      </c>
      <c r="E10" t="n">
        <v>4</v>
      </c>
      <c r="F10" t="n">
        <v>1.5</v>
      </c>
      <c r="G10" t="n">
        <v>150</v>
      </c>
      <c r="H10" t="n">
        <v>150</v>
      </c>
      <c r="I10" t="n">
        <v>0</v>
      </c>
      <c r="J10" t="n">
        <v>3</v>
      </c>
      <c r="K10" s="10" t="n"/>
      <c r="L10" s="10" t="n"/>
      <c r="M10" s="10" t="n"/>
      <c r="N10" s="10" t="n"/>
    </row>
    <row r="11">
      <c r="A11" t="n">
        <v>10</v>
      </c>
      <c r="B11" t="inlineStr">
        <is>
          <t>Metal direto</t>
        </is>
      </c>
      <c r="C11" t="n">
        <v>0</v>
      </c>
      <c r="D11" t="inlineStr">
        <is>
          <t>TAG1</t>
        </is>
      </c>
      <c r="E11" t="n">
        <v>5</v>
      </c>
      <c r="F11" t="n">
        <v>1.5</v>
      </c>
      <c r="G11" t="n">
        <v>150</v>
      </c>
      <c r="H11" t="n">
        <v>150</v>
      </c>
      <c r="I11" t="n">
        <v>0</v>
      </c>
      <c r="J11" t="n">
        <v>3</v>
      </c>
      <c r="K11" s="10" t="n"/>
      <c r="L11" s="10" t="n"/>
      <c r="M11" s="10" t="n"/>
      <c r="N11" s="10" t="n"/>
    </row>
    <row r="12">
      <c r="A12" t="n">
        <v>11</v>
      </c>
      <c r="B12" t="inlineStr">
        <is>
          <t>Metal com espacador</t>
        </is>
      </c>
      <c r="C12" t="n">
        <v>10</v>
      </c>
      <c r="D12" t="inlineStr">
        <is>
          <t>TAG1</t>
        </is>
      </c>
      <c r="E12" t="n">
        <v>1</v>
      </c>
      <c r="F12" t="n">
        <v>1.5</v>
      </c>
      <c r="G12" t="n">
        <v>150</v>
      </c>
      <c r="H12" t="n">
        <v>150</v>
      </c>
      <c r="I12" t="n">
        <v>0</v>
      </c>
      <c r="J12" t="n">
        <v>3</v>
      </c>
      <c r="K12" s="10" t="n"/>
      <c r="L12" s="10" t="n"/>
      <c r="M12" s="10" t="n"/>
      <c r="N12" s="10" t="n"/>
    </row>
    <row r="13">
      <c r="A13" t="n">
        <v>12</v>
      </c>
      <c r="B13" t="inlineStr">
        <is>
          <t>Metal com espacador</t>
        </is>
      </c>
      <c r="C13" t="n">
        <v>10</v>
      </c>
      <c r="D13" t="inlineStr">
        <is>
          <t>TAG1</t>
        </is>
      </c>
      <c r="E13" t="n">
        <v>2</v>
      </c>
      <c r="F13" t="n">
        <v>1.5</v>
      </c>
      <c r="G13" t="n">
        <v>150</v>
      </c>
      <c r="H13" t="n">
        <v>150</v>
      </c>
      <c r="I13" t="n">
        <v>0</v>
      </c>
      <c r="J13" t="n">
        <v>3</v>
      </c>
      <c r="K13" s="10" t="n"/>
      <c r="L13" s="10" t="n"/>
      <c r="M13" s="10" t="n"/>
      <c r="N13" s="10" t="n"/>
    </row>
    <row r="14">
      <c r="A14" t="n">
        <v>13</v>
      </c>
      <c r="B14" t="inlineStr">
        <is>
          <t>Metal com espacador</t>
        </is>
      </c>
      <c r="C14" t="n">
        <v>10</v>
      </c>
      <c r="D14" t="inlineStr">
        <is>
          <t>TAG1</t>
        </is>
      </c>
      <c r="E14" t="n">
        <v>3</v>
      </c>
      <c r="F14" t="n">
        <v>1.5</v>
      </c>
      <c r="G14" t="n">
        <v>150</v>
      </c>
      <c r="H14" t="n">
        <v>150</v>
      </c>
      <c r="I14" t="n">
        <v>0</v>
      </c>
      <c r="J14" t="n">
        <v>3</v>
      </c>
      <c r="K14" s="10" t="n"/>
      <c r="L14" s="10" t="n"/>
      <c r="M14" s="10" t="n"/>
      <c r="N14" s="10" t="n"/>
    </row>
    <row r="15">
      <c r="A15" t="n">
        <v>14</v>
      </c>
      <c r="B15" t="inlineStr">
        <is>
          <t>Metal com espacador</t>
        </is>
      </c>
      <c r="C15" t="n">
        <v>10</v>
      </c>
      <c r="D15" t="inlineStr">
        <is>
          <t>TAG1</t>
        </is>
      </c>
      <c r="E15" t="n">
        <v>4</v>
      </c>
      <c r="F15" t="n">
        <v>1.5</v>
      </c>
      <c r="G15" t="n">
        <v>150</v>
      </c>
      <c r="H15" t="n">
        <v>150</v>
      </c>
      <c r="I15" t="n">
        <v>0</v>
      </c>
      <c r="J15" t="n">
        <v>3</v>
      </c>
      <c r="K15" s="10" t="n"/>
      <c r="L15" s="10" t="n"/>
      <c r="M15" s="10" t="n"/>
      <c r="N15" s="10" t="n"/>
    </row>
    <row r="16">
      <c r="A16" t="n">
        <v>15</v>
      </c>
      <c r="B16" t="inlineStr">
        <is>
          <t>Metal com espacador</t>
        </is>
      </c>
      <c r="C16" t="n">
        <v>10</v>
      </c>
      <c r="D16" t="inlineStr">
        <is>
          <t>TAG1</t>
        </is>
      </c>
      <c r="E16" t="n">
        <v>5</v>
      </c>
      <c r="F16" t="n">
        <v>1.5</v>
      </c>
      <c r="G16" t="n">
        <v>150</v>
      </c>
      <c r="H16" t="n">
        <v>150</v>
      </c>
      <c r="I16" t="n">
        <v>0</v>
      </c>
      <c r="J16" t="n">
        <v>3</v>
      </c>
      <c r="K16" s="10" t="n"/>
      <c r="L16" s="10" t="n"/>
      <c r="M16" s="10" t="n"/>
      <c r="N16" s="10" t="n"/>
    </row>
  </sheetData>
  <autoFilter ref="A1:N16"/>
  <conditionalFormatting sqref="K2:K16">
    <cfRule type="cellIs" priority="1" operator="equal" dxfId="0">
      <formula>0</formula>
    </cfRule>
    <cfRule type="cellIs" priority="2" operator="equal" dxfId="1">
      <formula>1</formula>
    </cfRule>
  </conditionalFormatting>
  <dataValidations count="1">
    <dataValidation sqref="K2:K16" showDropDown="0" showInputMessage="0" showErrorMessage="0" allowBlank="1" errorTitle="Valor inválido" error="Digite somente 0 ou 1." promptTitle="Resultado da tentativa" prompt="1 = detectou; 0 = não detectou." type="list">
      <formula1>"0,1"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58" customWidth="1" min="4" max="4"/>
    <col width="22" customWidth="1" min="5" max="5"/>
    <col width="16" customWidth="1" min="6" max="6"/>
    <col width="16" customWidth="1" min="7" max="7"/>
    <col width="18" customWidth="1" min="8" max="8"/>
    <col width="32" customWidth="1" min="9" max="9"/>
    <col width="55" customWidth="1" min="10" max="10"/>
  </cols>
  <sheetData>
    <row r="1" ht="34" customHeight="1">
      <c r="A1" s="2" t="inlineStr">
        <is>
          <t>rodada</t>
        </is>
      </c>
      <c r="B1" s="2" t="inlineStr">
        <is>
          <t>duracao_janela_s</t>
        </is>
      </c>
      <c r="C1" s="2" t="inlineStr">
        <is>
          <t>qtd_tags_presentes</t>
        </is>
      </c>
      <c r="D1" s="2" t="inlineStr">
        <is>
          <t>epcs_detectados_separados_por_virgula</t>
        </is>
      </c>
      <c r="E1" s="2" t="inlineStr">
        <is>
          <t>qtd_tags_detectadas</t>
        </is>
      </c>
      <c r="F1" s="2" t="inlineStr">
        <is>
          <t>cobertura_%</t>
        </is>
      </c>
      <c r="G1" s="2" t="inlineStr">
        <is>
          <t>completa_0_1</t>
        </is>
      </c>
      <c r="H1" s="2" t="inlineStr">
        <is>
          <t>leituras_externas</t>
        </is>
      </c>
      <c r="I1" s="2" t="inlineStr">
        <is>
          <t>percurso</t>
        </is>
      </c>
      <c r="J1" s="2" t="inlineStr">
        <is>
          <t>observacoes</t>
        </is>
      </c>
    </row>
    <row r="2">
      <c r="A2" t="n">
        <v>1</v>
      </c>
      <c r="B2" t="n">
        <v>10</v>
      </c>
      <c r="C2" t="n">
        <v>5</v>
      </c>
      <c r="D2" s="10" t="n"/>
      <c r="E2" s="10" t="n"/>
      <c r="F2" s="8">
        <f>IF(C2&gt;0,E2/C2*100,"")</f>
        <v/>
      </c>
      <c r="G2" s="7">
        <f>IF(E2="","",--(E2=C2))</f>
        <v/>
      </c>
      <c r="H2" s="10" t="n"/>
      <c r="I2" s="10" t="inlineStr">
        <is>
          <t>Percurso curto padronizado</t>
        </is>
      </c>
      <c r="J2" s="10" t="n"/>
    </row>
    <row r="3">
      <c r="A3" t="n">
        <v>2</v>
      </c>
      <c r="B3" t="n">
        <v>10</v>
      </c>
      <c r="C3" t="n">
        <v>5</v>
      </c>
      <c r="D3" s="10" t="n"/>
      <c r="E3" s="10" t="n"/>
      <c r="F3" s="8">
        <f>IF(C3&gt;0,E3/C3*100,"")</f>
        <v/>
      </c>
      <c r="G3" s="7">
        <f>IF(E3="","",--(E3=C3))</f>
        <v/>
      </c>
      <c r="H3" s="10" t="n"/>
      <c r="I3" s="10" t="inlineStr">
        <is>
          <t>Percurso curto padronizado</t>
        </is>
      </c>
      <c r="J3" s="10" t="n"/>
    </row>
    <row r="4">
      <c r="A4" t="n">
        <v>3</v>
      </c>
      <c r="B4" t="n">
        <v>10</v>
      </c>
      <c r="C4" t="n">
        <v>5</v>
      </c>
      <c r="D4" s="10" t="n"/>
      <c r="E4" s="10" t="n"/>
      <c r="F4" s="8">
        <f>IF(C4&gt;0,E4/C4*100,"")</f>
        <v/>
      </c>
      <c r="G4" s="7">
        <f>IF(E4="","",--(E4=C4))</f>
        <v/>
      </c>
      <c r="H4" s="10" t="n"/>
      <c r="I4" s="10" t="inlineStr">
        <is>
          <t>Percurso curto padronizado</t>
        </is>
      </c>
      <c r="J4" s="10" t="n"/>
    </row>
    <row r="5">
      <c r="A5" t="n">
        <v>4</v>
      </c>
      <c r="B5" t="n">
        <v>10</v>
      </c>
      <c r="C5" t="n">
        <v>5</v>
      </c>
      <c r="D5" s="10" t="n"/>
      <c r="E5" s="10" t="n"/>
      <c r="F5" s="8">
        <f>IF(C5&gt;0,E5/C5*100,"")</f>
        <v/>
      </c>
      <c r="G5" s="7">
        <f>IF(E5="","",--(E5=C5))</f>
        <v/>
      </c>
      <c r="H5" s="10" t="n"/>
      <c r="I5" s="10" t="inlineStr">
        <is>
          <t>Percurso curto padronizado</t>
        </is>
      </c>
      <c r="J5" s="10" t="n"/>
    </row>
    <row r="6">
      <c r="A6" t="n">
        <v>5</v>
      </c>
      <c r="B6" t="n">
        <v>10</v>
      </c>
      <c r="C6" t="n">
        <v>5</v>
      </c>
      <c r="D6" s="10" t="n"/>
      <c r="E6" s="10" t="n"/>
      <c r="F6" s="8">
        <f>IF(C6&gt;0,E6/C6*100,"")</f>
        <v/>
      </c>
      <c r="G6" s="7">
        <f>IF(E6="","",--(E6=C6))</f>
        <v/>
      </c>
      <c r="H6" s="10" t="n"/>
      <c r="I6" s="10" t="inlineStr">
        <is>
          <t>Percurso curto padronizado</t>
        </is>
      </c>
      <c r="J6" s="10" t="n"/>
    </row>
  </sheetData>
  <autoFilter ref="A1:J6"/>
  <dataValidations count="1">
    <dataValidation sqref="G2:G6" showDropDown="0" showInputMessage="0" showErrorMessage="0" allowBlank="1" errorTitle="Valor inválido" error="Digite somente 0 ou 1." promptTitle="Resultado da tentativa" prompt="1 = detectou; 0 = não detectou.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12" customWidth="1" min="4" max="4"/>
    <col width="42" customWidth="1" min="5" max="5"/>
    <col width="22" customWidth="1" min="6" max="6"/>
    <col width="80" customWidth="1" min="7" max="7"/>
    <col width="50" customWidth="1" min="8" max="8"/>
  </cols>
  <sheetData>
    <row r="1" ht="34" customHeight="1">
      <c r="A1" s="2" t="inlineStr">
        <is>
          <t>timestamp</t>
        </is>
      </c>
      <c r="B1" s="2" t="inlineStr">
        <is>
          <t>ensaio</t>
        </is>
      </c>
      <c r="C1" s="2" t="inlineStr">
        <is>
          <t>condicao</t>
        </is>
      </c>
      <c r="D1" s="2" t="inlineStr">
        <is>
          <t>tentativa</t>
        </is>
      </c>
      <c r="E1" s="2" t="inlineStr">
        <is>
          <t>epc</t>
        </is>
      </c>
      <c r="F1" s="2" t="inlineStr">
        <is>
          <t>leitura_valida_0_1</t>
        </is>
      </c>
      <c r="G1" s="2" t="inlineStr">
        <is>
          <t>linha_serial_original</t>
        </is>
      </c>
      <c r="H1" s="2" t="inlineStr">
        <is>
          <t>observacoes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</sheetData>
  <autoFilter ref="A1:H201"/>
  <dataValidations count="1">
    <dataValidation sqref="F2:F201" showDropDown="0" showInputMessage="0" showErrorMessage="0" allowBlank="1" errorTitle="Valor inválido" error="Digite somente 0 ou 1." promptTitle="Resultado da tentativa" prompt="1 = detectou; 0 = não detectou.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Projeto de Graduação 2</dc:creator>
  <dc:title xmlns:dc="http://purl.org/dc/elements/1.1/">Coleta experimental mínima RFID UHF</dc:title>
  <dc:description xmlns:dc="http://purl.org/dc/elements/1.1/">Protocolo reduzido: alcance, orientação, material e inventário. Nenhum resultado experimental pré-preenchido.</dc:description>
  <dc:subject xmlns:dc="http://purl.org/dc/elements/1.1/">Planilha vazia para medições físicas do PG2</dc:subject>
  <dcterms:created xmlns:dcterms="http://purl.org/dc/terms/" xmlns:xsi="http://www.w3.org/2001/XMLSchema-instance" xsi:type="dcterms:W3CDTF">2026-07-13T00:13:35Z</dcterms:created>
  <dcterms:modified xmlns:dcterms="http://purl.org/dc/terms/" xmlns:xsi="http://www.w3.org/2001/XMLSchema-instance" xsi:type="dcterms:W3CDTF">2026-07-13T00:13:35Z</dcterms:modified>
</cp:coreProperties>
</file>