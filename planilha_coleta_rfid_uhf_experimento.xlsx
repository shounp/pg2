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49e92d4f00b4911/Área de Trabalho/PG2/pg2/"/>
    </mc:Choice>
  </mc:AlternateContent>
  <xr:revisionPtr revIDLastSave="101" documentId="11_1763C4942E42405CDBF3781EE2C20EA72612941C" xr6:coauthVersionLast="47" xr6:coauthVersionMax="47" xr10:uidLastSave="{7979240C-729F-4C7E-B687-3540DA19E833}"/>
  <bookViews>
    <workbookView xWindow="-110" yWindow="-110" windowWidth="19420" windowHeight="10300" xr2:uid="{00000000-000D-0000-FFFF-FFFF00000000}"/>
  </bookViews>
  <sheets>
    <sheet name="LEIA_ME" sheetId="1" r:id="rId1"/>
    <sheet name="PLANO_DO_DIA" sheetId="2" r:id="rId2"/>
    <sheet name="Resumo" sheetId="3" r:id="rId3"/>
    <sheet name="Configuracao" sheetId="4" r:id="rId4"/>
    <sheet name="Tags" sheetId="5" r:id="rId5"/>
    <sheet name="Alcance" sheetId="6" r:id="rId6"/>
    <sheet name="Orientacao" sheetId="7" r:id="rId7"/>
    <sheet name="Material" sheetId="8" r:id="rId8"/>
    <sheet name="Inventario" sheetId="9" r:id="rId9"/>
    <sheet name="Log_Serial_Opcional" sheetId="10" r:id="rId10"/>
  </sheets>
  <definedNames>
    <definedName name="_xlnm._FilterDatabase" localSheetId="5" hidden="1">Alcance!$A$1:$M$61</definedName>
    <definedName name="_xlnm._FilterDatabase" localSheetId="3" hidden="1">Configuracao!$A$1:$C$21</definedName>
    <definedName name="_xlnm._FilterDatabase" localSheetId="8" hidden="1">Inventario!$A$1:$J$6</definedName>
    <definedName name="_xlnm._FilterDatabase" localSheetId="9" hidden="1">Log_Serial_Opcional!$A$1:$H$201</definedName>
    <definedName name="_xlnm._FilterDatabase" localSheetId="7" hidden="1">Material!$A$1:$N$16</definedName>
    <definedName name="_xlnm._FilterDatabase" localSheetId="6" hidden="1">Orientacao!$A$1:$M$46</definedName>
    <definedName name="_xlnm._FilterDatabase" localSheetId="2" hidden="1">Resumo!$A$2:$G$13</definedName>
    <definedName name="_xlnm._FilterDatabase" localSheetId="4" hidden="1">Tags!$A$1:$F$6</definedName>
  </definedNames>
  <calcPr calcId="181029"/>
</workbook>
</file>

<file path=xl/calcChain.xml><?xml version="1.0" encoding="utf-8"?>
<calcChain xmlns="http://schemas.openxmlformats.org/spreadsheetml/2006/main">
  <c r="G6" i="9" l="1"/>
  <c r="F6" i="9"/>
  <c r="G5" i="9"/>
  <c r="F5" i="9"/>
  <c r="G4" i="9"/>
  <c r="F4" i="9"/>
  <c r="G3" i="9"/>
  <c r="F3" i="9"/>
  <c r="G2" i="9"/>
  <c r="F2" i="9"/>
  <c r="F13" i="3"/>
  <c r="D13" i="3"/>
  <c r="G13" i="3" s="1"/>
  <c r="E12" i="3"/>
  <c r="D12" i="3"/>
  <c r="G12" i="3" s="1"/>
  <c r="E11" i="3"/>
  <c r="D11" i="3"/>
  <c r="G11" i="3" s="1"/>
  <c r="E10" i="3"/>
  <c r="D10" i="3"/>
  <c r="G10" i="3" s="1"/>
  <c r="E9" i="3"/>
  <c r="D9" i="3"/>
  <c r="G9" i="3" s="1"/>
  <c r="E8" i="3"/>
  <c r="D8" i="3"/>
  <c r="G8" i="3" s="1"/>
  <c r="E7" i="3"/>
  <c r="D7" i="3"/>
  <c r="G7" i="3" s="1"/>
  <c r="E6" i="3"/>
  <c r="D6" i="3"/>
  <c r="G6" i="3" s="1"/>
  <c r="E5" i="3"/>
  <c r="D5" i="3"/>
  <c r="G5" i="3" s="1"/>
  <c r="E4" i="3"/>
  <c r="D4" i="3"/>
  <c r="G4" i="3" s="1"/>
  <c r="E3" i="3"/>
  <c r="D3" i="3"/>
  <c r="G3" i="3" s="1"/>
  <c r="E13" i="3" l="1"/>
  <c r="F4" i="3"/>
  <c r="F7" i="3"/>
  <c r="F10" i="3"/>
  <c r="F5" i="3"/>
  <c r="F8" i="3"/>
  <c r="F11" i="3"/>
  <c r="F3" i="3"/>
  <c r="F6" i="3"/>
  <c r="F9" i="3"/>
  <c r="F12" i="3"/>
</calcChain>
</file>

<file path=xl/sharedStrings.xml><?xml version="1.0" encoding="utf-8"?>
<sst xmlns="http://schemas.openxmlformats.org/spreadsheetml/2006/main" count="939" uniqueCount="345">
  <si>
    <t>PROTOCOLO EXPERIMENTAL MÍNIMO — PREENCHIMENTO OBRIGATÓRIO</t>
  </si>
  <si>
    <t>Campo</t>
  </si>
  <si>
    <t>Instrução</t>
  </si>
  <si>
    <t>Natureza</t>
  </si>
  <si>
    <t>Planilha vazia para coleta física real. Nenhum resultado foi pré-preenchido.</t>
  </si>
  <si>
    <t>Tempo total</t>
  </si>
  <si>
    <t>Planejada para aproximadamente 50–70 minutos, incluindo montagem, fotos e conferência.</t>
  </si>
  <si>
    <t>Prioridade</t>
  </si>
  <si>
    <t>Execute nesta ordem: Configuração/fotos, Alcance, Orientação, Material e Inventário.</t>
  </si>
  <si>
    <t>Tentativa</t>
  </si>
  <si>
    <t>Uma janela de 3 s. Retire a tag do campo por cerca de 2 s antes de cada nova tentativa.</t>
  </si>
  <si>
    <t>Sucesso</t>
  </si>
  <si>
    <t>Preencha 1 somente se o EPC esperado aparecer ao menos uma vez durante a janela; caso contrário, 0.</t>
  </si>
  <si>
    <t>Não inventar</t>
  </si>
  <si>
    <t>Não complete células esquecidas posteriormente por estimativa. Deixe em branco e explique em observações.</t>
  </si>
  <si>
    <t>RSSI</t>
  </si>
  <si>
    <t>Não é obrigatório. Só registre se o firmware fornecer RSSI bruto ou uma conversão documentada.</t>
  </si>
  <si>
    <t>Cor amarela</t>
  </si>
  <si>
    <t>Campo que deve ser preenchido durante ou imediatamente após a coleta.</t>
  </si>
  <si>
    <t>Cor azul</t>
  </si>
  <si>
    <t>Célula calculada automaticamente; não digitar por cima.</t>
  </si>
  <si>
    <t>Tags</t>
  </si>
  <si>
    <t>Cadastre cinco tags. TAG1, TAG2 e TAG3 são usadas nos testes controlados; as cinco entram no inventário.</t>
  </si>
  <si>
    <t>Alcance</t>
  </si>
  <si>
    <t>4 distâncias × 3 tags × 5 tentativas = 60 janelas de 3 s.</t>
  </si>
  <si>
    <t>Orientação</t>
  </si>
  <si>
    <t>3 ângulos × 3 tags × 5 tentativas = 45 janelas de 3 s, sempre a 1,5 m.</t>
  </si>
  <si>
    <t>Material</t>
  </si>
  <si>
    <t>3 suportes × 5 tentativas = 15 janelas de 3 s, usando sempre TAG1.</t>
  </si>
  <si>
    <t>Inventário</t>
  </si>
  <si>
    <t>5 janelas de 10 s com cinco tags e o mesmo percurso curto.</t>
  </si>
  <si>
    <t>Passagem</t>
  </si>
  <si>
    <t>Foi retirada do protocolo para reduzir tempo e preservar a qualidade dos quatro ensaios centrais.</t>
  </si>
  <si>
    <t>Backup</t>
  </si>
  <si>
    <t>Ao terminar, salve uma cópia com data/hora e preserve fotografias e qualquer log serial.</t>
  </si>
  <si>
    <t>ROTEIRO RÁPIDO DE EXECUÇÃO</t>
  </si>
  <si>
    <t>Etapa</t>
  </si>
  <si>
    <t>Tempo</t>
  </si>
  <si>
    <t>O que fazer</t>
  </si>
  <si>
    <t>Critério para avançar</t>
  </si>
  <si>
    <t>Concluído (X)</t>
  </si>
  <si>
    <t>10 min</t>
  </si>
  <si>
    <t>Montar, conferir GND/fonte, abrir serial, cadastrar 5 EPCs e tirar fotos.</t>
  </si>
  <si>
    <t>Leitura de TAG1 confirmada e configuração preenchida.</t>
  </si>
  <si>
    <t>20 min</t>
  </si>
  <si>
    <t>Executar as 60 janelas da aba Alcance, agrupadas por distância.</t>
  </si>
  <si>
    <t>Todas as células amarelas de detectou_0_1 preenchidas.</t>
  </si>
  <si>
    <t>12 min</t>
  </si>
  <si>
    <t>Executar as 45 janelas da aba Orientacao em 0°, 45° e 90°.</t>
  </si>
  <si>
    <t>Ângulos fotografados ou marcados e resultados preenchidos.</t>
  </si>
  <si>
    <t>8 min</t>
  </si>
  <si>
    <t>Executar papelão, metal direto e metal com espaçador usando TAG1.</t>
  </si>
  <si>
    <t>Cinco tentativas preenchidas em cada suporte.</t>
  </si>
  <si>
    <t>Executar cinco janelas de inventário de 10 s com o mesmo percurso.</t>
  </si>
  <si>
    <t>EPCs detectados e quantidade registrados em cada janela.</t>
  </si>
  <si>
    <t>5 min</t>
  </si>
  <si>
    <t>Revisar campos vazios, salvar cópia e copiar fotos/logs.</t>
  </si>
  <si>
    <t>Arquivo abre novamente e a aba Resumo apresenta taxas.</t>
  </si>
  <si>
    <t>RESUMO AUTOMÁTICO — NÃO DIGITAR NAS CÉLULAS AZUIS</t>
  </si>
  <si>
    <t>Ensaio</t>
  </si>
  <si>
    <t>Condição</t>
  </si>
  <si>
    <t>Planejado</t>
  </si>
  <si>
    <t>Preenchido</t>
  </si>
  <si>
    <t>Sucessos</t>
  </si>
  <si>
    <t>Taxa_%</t>
  </si>
  <si>
    <t>Situação</t>
  </si>
  <si>
    <t>Orientacao</t>
  </si>
  <si>
    <t>Papelao</t>
  </si>
  <si>
    <t>Metal direto</t>
  </si>
  <si>
    <t>Metal com espacador</t>
  </si>
  <si>
    <t>Inventario</t>
  </si>
  <si>
    <t>5 janelas</t>
  </si>
  <si>
    <t>Parâmetro</t>
  </si>
  <si>
    <t>Valor real</t>
  </si>
  <si>
    <t>Como preencher</t>
  </si>
  <si>
    <t>Data da coleta</t>
  </si>
  <si>
    <t>Data em que os experimentos foram realmente executados.</t>
  </si>
  <si>
    <t>Hora de início</t>
  </si>
  <si>
    <t>Hora aproximada do início da montagem.</t>
  </si>
  <si>
    <t>Local/sala</t>
  </si>
  <si>
    <t>Nome exato da sala e prédio.</t>
  </si>
  <si>
    <t>Operador</t>
  </si>
  <si>
    <t>Leonardo Teixeira Gomes Silva</t>
  </si>
  <si>
    <t>Pessoa que realizou a coleta.</t>
  </si>
  <si>
    <t>Leitor</t>
  </si>
  <si>
    <t>YPD-R200</t>
  </si>
  <si>
    <t>Confirmar a identificação do módulo.</t>
  </si>
  <si>
    <t>Placa</t>
  </si>
  <si>
    <t>Arduino Uno ou Nano; informar qual foi usado.</t>
  </si>
  <si>
    <t>Firmware/commit</t>
  </si>
  <si>
    <t>Nome/versão do arquivo carregado no Arduino.</t>
  </si>
  <si>
    <t>Antena</t>
  </si>
  <si>
    <t>Airplux APCA8090</t>
  </si>
  <si>
    <t>Confirmar modelo/variante disponível.</t>
  </si>
  <si>
    <t>Ganho nominal (dBi)</t>
  </si>
  <si>
    <t>Valor nominal do fabricante.</t>
  </si>
  <si>
    <t>Polarização</t>
  </si>
  <si>
    <t>Linear</t>
  </si>
  <si>
    <t>Polarização informada para a antena.</t>
  </si>
  <si>
    <t>Região/canal/FHSS</t>
  </si>
  <si>
    <t>Registrar o que estiver configurado; se desconhecido, escrever NÃO VERIFICADO.</t>
  </si>
  <si>
    <t>Potência configurada (dBm)</t>
  </si>
  <si>
    <t>Registrar o comando usado; indicar se foi lido de volta.</t>
  </si>
  <si>
    <t>Altura da antena (cm)</t>
  </si>
  <si>
    <t>Medir do piso ao centro da antena.</t>
  </si>
  <si>
    <t>Fonte do leitor</t>
  </si>
  <si>
    <t>5 V / 1 A externa</t>
  </si>
  <si>
    <t>Registrar tensão/corrente nominais da fonte.</t>
  </si>
  <si>
    <t>Baud rate UART</t>
  </si>
  <si>
    <t>Velocidade entre Arduino e YPD-R200.</t>
  </si>
  <si>
    <t>Intervalo de estabilização</t>
  </si>
  <si>
    <t>Tempo aguardado após mover tag/antena, em segundos.</t>
  </si>
  <si>
    <t>Pessoas no ambiente</t>
  </si>
  <si>
    <t>Quantidade aproximada e movimentação durante o teste.</t>
  </si>
  <si>
    <t>Objetos metálicos próximos</t>
  </si>
  <si>
    <t>Descrever bancada, armários e distância aproximada.</t>
  </si>
  <si>
    <t>Fotos/arquivos</t>
  </si>
  <si>
    <t>Nomes das fotos e do log serial, se houver.</t>
  </si>
  <si>
    <t>Ocorrências</t>
  </si>
  <si>
    <t>Reinicializações, quedas de alimentação ou mudanças de configuração.</t>
  </si>
  <si>
    <t>tag_id</t>
  </si>
  <si>
    <t>epc_real</t>
  </si>
  <si>
    <t>objeto/suporte</t>
  </si>
  <si>
    <t>material</t>
  </si>
  <si>
    <t>foto/posição</t>
  </si>
  <si>
    <t>observações</t>
  </si>
  <si>
    <t>TAG1</t>
  </si>
  <si>
    <t>TAG2</t>
  </si>
  <si>
    <t>TAG3</t>
  </si>
  <si>
    <t>TAG4</t>
  </si>
  <si>
    <t>TAG5</t>
  </si>
  <si>
    <t>ordem</t>
  </si>
  <si>
    <t>distancia_horizontal_m</t>
  </si>
  <si>
    <t>tentativa</t>
  </si>
  <si>
    <t>altura_antena_cm</t>
  </si>
  <si>
    <t>altura_tag_cm</t>
  </si>
  <si>
    <t>orientacao_graus</t>
  </si>
  <si>
    <t>material_suporte</t>
  </si>
  <si>
    <t>duracao_janela_s</t>
  </si>
  <si>
    <t>detectou_0_1</t>
  </si>
  <si>
    <t>epc_observado</t>
  </si>
  <si>
    <t>tempo_primeira_leitura_s</t>
  </si>
  <si>
    <t>observacoes</t>
  </si>
  <si>
    <t>distancia_m</t>
  </si>
  <si>
    <t>espacador_mm</t>
  </si>
  <si>
    <t>rodada</t>
  </si>
  <si>
    <t>qtd_tags_presentes</t>
  </si>
  <si>
    <t>epcs_detectados_separados_por_virgula</t>
  </si>
  <si>
    <t>qtd_tags_detectadas</t>
  </si>
  <si>
    <t>cobertura_%</t>
  </si>
  <si>
    <t>completa_0_1</t>
  </si>
  <si>
    <t>leituras_externas</t>
  </si>
  <si>
    <t>percurso</t>
  </si>
  <si>
    <t>Percurso curto padronizado</t>
  </si>
  <si>
    <t>timestamp</t>
  </si>
  <si>
    <t>ensaio</t>
  </si>
  <si>
    <t>condicao</t>
  </si>
  <si>
    <t>epc</t>
  </si>
  <si>
    <t>leitura_valida_0_1</t>
  </si>
  <si>
    <t>linha_serial_original</t>
  </si>
  <si>
    <t>E28069950000401171B314B1</t>
  </si>
  <si>
    <t>leituras_tag=4; rssi_raw=185; externas=0; timeouts=0; invalidos=1; erros_comando=0</t>
  </si>
  <si>
    <t>leituras_tag=5; rssi_raw=188; externas=0; timeouts=0; invalidos=1; erros_comando=0</t>
  </si>
  <si>
    <t>leituras_tag=5; rssi_raw=193; externas=0; timeouts=0; invalidos=1; erros_comando=0</t>
  </si>
  <si>
    <t>leituras_tag=7; rssi_raw=195; externas=0; timeouts=0; invalidos=0; erros_comando=0</t>
  </si>
  <si>
    <t>leituras_tag=6; rssi_raw=197; externas=0; timeouts=0; invalidos=0; erros_comando=0</t>
  </si>
  <si>
    <t>E28069150000402D9DF3F160</t>
  </si>
  <si>
    <t>ALCANCE</t>
  </si>
  <si>
    <t>0.5m_TAG2_EXECUCAO_CONTAMINADA</t>
  </si>
  <si>
    <t>RESULT,1188939,ALCANCE,0.5m,TAG2,1,3000,6,3,1,502,E28069150000402D9DF3F160,194,3,0,0,0</t>
  </si>
  <si>
    <t>Execucao substituida por repeticao limpa; havia leituras externas.</t>
  </si>
  <si>
    <t>RESULT,1193944,ALCANCE,0.5m,TAG2,2,3000,6,3,1,1,E28069150000402D9DF3F160,195,3,0,0,0</t>
  </si>
  <si>
    <t>RESULT,1198950,ALCANCE,0.5m,TAG2,3,3000,6,2,1,501,E28069150000402D9DF3F160,195,4,0,0,0</t>
  </si>
  <si>
    <t>RESULT,1204454,ALCANCE,0.5m,TAG2,4,3000,7,4,1,501,E28069150000402D9DF3F160,193,3,0,0,0</t>
  </si>
  <si>
    <t>leituras_tag=6; rssi_raw=194; externas=0; timeouts=0; invalidos=0; erros_comando=0; repeticao limpa apos execucao contaminada</t>
  </si>
  <si>
    <t>leituras_tag=6; rssi_raw=195; externas=0; timeouts=0; invalidos=0; erros_comando=0; repeticao limpa apos execucao contaminada</t>
  </si>
  <si>
    <t>E2004718F0906027E2F6010C</t>
  </si>
  <si>
    <t>polls=7; leituras_tag=7; rssi_raw=198; externas=0; timeouts=0; invalidos=0; erros_comando=0</t>
  </si>
  <si>
    <t>polls=6; leituras_tag=6; rssi_raw=189; externas=0; timeouts=0; invalidos=0; erros_comando=0</t>
  </si>
  <si>
    <t>polls=7; leituras_tag=7; rssi_raw=195; externas=0; timeouts=0; invalidos=0; erros_comando=0</t>
  </si>
  <si>
    <t>polls=6; leituras_tag=5; rssi_raw=188; externas=0; timeouts=0; invalidos=0; erros_comando=0</t>
  </si>
  <si>
    <t>polls=6; leituras_tag=1; rssi_raw=179; externas=0; timeouts=0; invalidos=0; erros_comando=0</t>
  </si>
  <si>
    <t>polls=7; leituras_tag=5; rssi_raw=181; externas=0; timeouts=0; invalidos=0; erros_comando=0</t>
  </si>
  <si>
    <t>polls=6; leituras_tag=6; rssi_raw=174; externas=0; timeouts=0; invalidos=0; erros_comando=0</t>
  </si>
  <si>
    <t>polls=7; leituras_tag=4; rssi_raw=178; externas=0; timeouts=0; invalidos=0; erros_comando=0</t>
  </si>
  <si>
    <t>polls=6; leituras_tag=3; rssi_raw=180; externas=0; timeouts=0; invalidos=1; erros_comando=0</t>
  </si>
  <si>
    <t>polls=7; leituras_tag=7; rssi_raw=186; externas=0; timeouts=0; invalidos=0; erros_comando=0</t>
  </si>
  <si>
    <t>polls=6; leituras_tag=6; rssi_raw=184; externas=0; timeouts=0; invalidos=0; erros_comando=0</t>
  </si>
  <si>
    <t>polls=6; leituras_tag=5; rssi_raw=184; externas=0; timeouts=0; invalidos=1; erros_comando=0</t>
  </si>
  <si>
    <t>polls=6; leituras_tag=6; rssi_raw=182; externas=0; timeouts=0; invalidos=0; erros_comando=0</t>
  </si>
  <si>
    <t>polls=6; leituras_tag=4; rssi_raw=181; externas=0; timeouts=0; invalidos=0; erros_comando=0</t>
  </si>
  <si>
    <t>polls=6; leituras_tag=2; rssi_raw=182; externas=0; timeouts=0; invalidos=0; erros_comando=0</t>
  </si>
  <si>
    <t>polls=6; leituras_tag=0; rssi_raw=NA; externas=0; timeouts=0; invalidos=0; erros_comando=0</t>
  </si>
  <si>
    <t>polls=6; leituras_tag=5; rssi_raw=182; externas=0; timeouts=0; invalidos=0; erros_comando=0</t>
  </si>
  <si>
    <t>polls=6; leituras_tag=3; rssi_raw=180; externas=0; timeouts=0; invalidos=0; erros_comando=0</t>
  </si>
  <si>
    <t>polls=7; leituras_tag=0; rssi_raw=NA; externas=0; timeouts=0; invalidos=1; erros_comando=0</t>
  </si>
  <si>
    <t>polls=7; leituras_tag=4; rssi_raw=176; externas=0; timeouts=0; invalidos=0; erros_comando=0</t>
  </si>
  <si>
    <t>polls=7; leituras_tag=4; rssi_raw=171; externas=0; timeouts=0; invalidos=0; erros_comando=0</t>
  </si>
  <si>
    <t>polls=6; leituras_tag=0; rssi_raw=NA; externas=0; timeouts=0; invalidos=1; erros_comando=0</t>
  </si>
  <si>
    <t>polls=7; leituras_tag=2; rssi_raw=178; externas=0; timeouts=0; invalidos=0; erros_comando=0</t>
  </si>
  <si>
    <t>polls=6; leituras_tag=6; rssi_raw=186; externas=0; timeouts=0; invalidos=0; erros_comando=0</t>
  </si>
  <si>
    <t>polls=6; leituras_tag=5; rssi_raw=185; externas=0; timeouts=1; invalidos=0; erros_comando=0</t>
  </si>
  <si>
    <t>polls=7; leituras_tag=0; rssi_raw=NA; externas=0; timeouts=0; invalidos=0; erros_comando=0</t>
  </si>
  <si>
    <t>polls=6; leituras_tag=1; rssi_raw=187; externas=0; timeouts=0; invalidos=0; erros_comando=0</t>
  </si>
  <si>
    <t>polls=7; leituras_tag=5; rssi_raw=192; externas=0; timeouts=0; invalidos=0; erros_comando=0</t>
  </si>
  <si>
    <t>polls=7; leituras_tag=7; rssi_raw=185; externas=0; timeouts=0; invalidos=0; erros_comando=0</t>
  </si>
  <si>
    <t>1.5m_TAG2_REPETICAO_LIMPA_NAO_OFICIAL</t>
  </si>
  <si>
    <t>NA</t>
  </si>
  <si>
    <t>RESULT,2385785,ALCANCE,1.5m,TAG2,1,3000,6,0,0,NA,NA,NA,0,0,0,0</t>
  </si>
  <si>
    <t>Execucao adicional limpa; primeira execucao mantida como oficial para evitar selecao de resultado.</t>
  </si>
  <si>
    <t>RESULT,2390790,ALCANCE,1.5m,TAG2,2,3000,6,4,1,556,E28069150000402D9DF3F160,180,0,0,0,0</t>
  </si>
  <si>
    <t>RESULT,2395797,ALCANCE,1.5m,TAG2,3,3000,6,2,1,18,E28069150000402D9DF3F160,182,0,0,0,0</t>
  </si>
  <si>
    <t>RESULT,2401302,ALCANCE,1.5m,TAG2,4,3000,7,0,0,NA,NA,NA,0,0,0,0</t>
  </si>
  <si>
    <t>RESULT,2406308,ALCANCE,1.5m,TAG2,5,3000,6,0,0,NA,NA,NA,0,0,0,0</t>
  </si>
  <si>
    <t>1.5m_TAG2_REPETICAO_CONTAMINADA_NAO_OFICIAL</t>
  </si>
  <si>
    <t>RESULT,2540025,ALCANCE,1.5m,TAG2,1,3000,7,0,0,NA,NA,NA,5,0,0,0</t>
  </si>
  <si>
    <t>Execucao adicional com leituras externas; nao usada no resultado oficial.</t>
  </si>
  <si>
    <t>RESULT,2545527,ALCANCE,1.5m,TAG2,2,3000,7,0,0,NA,NA,NA,6,0,0,0</t>
  </si>
  <si>
    <t>RESULT,2550531,ALCANCE,1.5m,TAG2,3,3000,6,0,0,NA,NA,NA,3,0,0,0</t>
  </si>
  <si>
    <t>RESULT,2555536,ALCANCE,1.5m,TAG2,4,3000,6,0,0,NA,NA,NA,0,0,0,0</t>
  </si>
  <si>
    <t>RESULT,2560540,ALCANCE,1.5m,TAG2,5,3000,6,0,0,NA,NA,NA,0,0,0,0</t>
  </si>
  <si>
    <t>RESULT,2566550,ALCANCE,1.5m,TAG2,1,3000,6,0,0,NA,NA,NA,0,0,0,0</t>
  </si>
  <si>
    <t>RESULT,2571555,ALCANCE,1.5m,TAG2,2,3000,6,0,0,NA,NA,NA,3,0,0,0</t>
  </si>
  <si>
    <t>RESULT,2576560,ALCANCE,1.5m,TAG2,3,3000,6,0,0,NA,NA,NA,6,0,0,0</t>
  </si>
  <si>
    <t>RESULT,2581564,ALCANCE,1.5m,TAG2,4,3000,6,0,0,NA,NA,NA,1,0,0,0</t>
  </si>
  <si>
    <t>RESULT,2586568,ALCANCE,1.5m,TAG2,5,3000,6,0,0,NA,NA,NA,0,0,0,0</t>
  </si>
  <si>
    <t>POLL_DIAGNOSTICO</t>
  </si>
  <si>
    <t>status_1</t>
  </si>
  <si>
    <t>POLL_RESULT,2448484,1,NA,-1</t>
  </si>
  <si>
    <t>Diagnostico entre execucoes; nao integra tentativa oficial.</t>
  </si>
  <si>
    <t>POLL_RESULT,2451237,1,NA,-1</t>
  </si>
  <si>
    <t>status_0</t>
  </si>
  <si>
    <t>POLL_RESULT,2453171,0,E2004718F0906027E2F6010C,184</t>
  </si>
  <si>
    <t>POLL_RESULT,2493300,1,NA,-1</t>
  </si>
  <si>
    <t>status_2</t>
  </si>
  <si>
    <t>POLL_RESULT,2497976,2,NA,-1</t>
  </si>
  <si>
    <t>POLL_RESULT,2498735,1,NA,-1</t>
  </si>
  <si>
    <t>300833B2DDD9014000000000</t>
  </si>
  <si>
    <t>POLL_RESULT,2500511,0,300833B2DDD9014000000000,196</t>
  </si>
  <si>
    <t>POLL_RESULT,2501240,0,300833B2DDD9014000000000,191</t>
  </si>
  <si>
    <t>POLL_RESULT,2502029,0,300833B2DDD9014000000000,201</t>
  </si>
  <si>
    <t>POLL_RESULT,2502656,0,300833B2DDD9014000000000,207</t>
  </si>
  <si>
    <t>POLL_RESULT,2503870,1,NA,-1</t>
  </si>
  <si>
    <t>POLL_RESULT,2504500,1,NA,-1</t>
  </si>
  <si>
    <t>POLL_RESULT,2505962,1,NA,-1</t>
  </si>
  <si>
    <t>POLL_RESULT,2506655,1,NA,-1</t>
  </si>
  <si>
    <t>POLL_RESULT,2526733,1,NA,-1</t>
  </si>
  <si>
    <t>E28011704000021D4B8170E3</t>
  </si>
  <si>
    <t>POLL_RESULT,2527795,0,E28011704000021D4B8170E3,184</t>
  </si>
  <si>
    <t>POLL_RESULT,2528526,0,E28011704000021D4B8170E3,196</t>
  </si>
  <si>
    <t>status_3</t>
  </si>
  <si>
    <t>POLL_RESULT,2529595,3,NA,-1</t>
  </si>
  <si>
    <t>POLL_RESULT,2530167,1,NA,-1</t>
  </si>
  <si>
    <t>POLL_RESULT,2531020,1,NA,-1</t>
  </si>
  <si>
    <t>POLL_RESULT,2531759,1,NA,-1</t>
  </si>
  <si>
    <t>POLL_RESULT,2532308,1,NA,-1</t>
  </si>
  <si>
    <t>POLL_RESULT,2533524,2,NA,-1</t>
  </si>
  <si>
    <t>polls=6; leituras_tag=0; rssi_raw=NA; externas=0; timeouts=1; invalidos=0; erros_comando=0</t>
  </si>
  <si>
    <t>polls=6; leituras_tag=2; rssi_raw=184; externas=0; timeouts=0; invalidos=0; erros_comando=0</t>
  </si>
  <si>
    <t>polls=6; leituras_tag=3; rssi_raw=187; externas=0; timeouts=1; invalidos=0; erros_comando=0</t>
  </si>
  <si>
    <t>polls=6; leituras_tag=3; rssi_raw=187; externas=0; timeouts=0; invalidos=0; erros_comando=0</t>
  </si>
  <si>
    <t>polls=7; leituras_tag=2; rssi_raw=184; externas=0; timeouts=0; invalidos=0; erros_comando=0</t>
  </si>
  <si>
    <t>polls=6; leituras_tag=2; rssi_raw=185; externas=0; timeouts=0; invalidos=1; erros_comando=0</t>
  </si>
  <si>
    <t>polls=7; leituras_tag=2; rssi_raw=187; externas=0; timeouts=0; invalidos=0; erros_comando=0</t>
  </si>
  <si>
    <t>polls=7; leituras_tag=5; rssi_raw=186; externas=0; timeouts=0; invalidos=0; erros_comando=0</t>
  </si>
  <si>
    <t>polls=7; leituras_tag=2; rssi_raw=180; externas=0; timeouts=1; invalidos=0; erros_comando=0</t>
  </si>
  <si>
    <t>polls=7; leituras_tag=6; rssi_raw=191; externas=0; timeouts=0; invalidos=1; erros_comando=0</t>
  </si>
  <si>
    <t>polls=6; leituras_tag=5; rssi_raw=187; externas=0; timeouts=0; invalidos=0; erros_comando=0</t>
  </si>
  <si>
    <t>polls=6; leituras_tag=5; rssi_raw=183; externas=0; timeouts=0; invalidos=1; erros_comando=0</t>
  </si>
  <si>
    <t>polls=6; leituras_tag=6; rssi_raw=181; externas=0; timeouts=0; invalidos=0; erros_comando=0</t>
  </si>
  <si>
    <t>polls=6; leituras_tag=5; rssi_raw=188; externas=0; timeouts=1; invalidos=0; erros_comando=0</t>
  </si>
  <si>
    <t>polls=6; leituras_tag=3; rssi_raw=183; externas=0; timeouts=0; invalidos=0; erros_comando=0</t>
  </si>
  <si>
    <t>polls=6; leituras_tag=1; rssi_raw=188; externas=0; timeouts=0; invalidos=0; erros_comando=0</t>
  </si>
  <si>
    <t>polls=6; leituras_tag=3; rssi_raw=185; externas=0; timeouts=0; invalidos=0; erros_comando=0</t>
  </si>
  <si>
    <t>polls=7; leituras_tag=6; rssi_raw=186; externas=0; timeouts=0; invalidos=0; erros_comando=0</t>
  </si>
  <si>
    <t>polls=6; leituras_tag=5; rssi_raw=178; externas=0; timeouts=1; invalidos=0; erros_comando=0</t>
  </si>
  <si>
    <t>polls=6; leituras_tag=5; rssi_raw=180; externas=0; timeouts=0; invalidos=1; erros_comando=0</t>
  </si>
  <si>
    <t>polls=6; leituras_tag=1; rssi_raw=183; externas=0; timeouts=0; invalidos=0; erros_comando=0</t>
  </si>
  <si>
    <t>polls=7; leituras_tag=4; rssi_raw=184; externas=0; timeouts=0; invalidos=1; erros_comando=0</t>
  </si>
  <si>
    <t>polls=6; leituras_tag=3; rssi_raw=181; externas=0; timeouts=0; invalidos=0; erros_comando=0</t>
  </si>
  <si>
    <t>polls=7; leituras_tag=5; rssi_raw=177; externas=0; timeouts=0; invalidos=0; erros_comando=0</t>
  </si>
  <si>
    <t>ORIENTACAO</t>
  </si>
  <si>
    <t>45graus_TAG3_CONTAMINADA_NAO_OFICIAL</t>
  </si>
  <si>
    <t>RESULT,3667888,ORIENTACAO,45graus,TAG3,1,3000,6,0,0,NA,NA,NA,4,0,0,0</t>
  </si>
  <si>
    <t>Execucao com leituras externas; repetir com outras tags afastadas.</t>
  </si>
  <si>
    <t>RESULT,3672894,ORIENTACAO,45graus,TAG3,2,3000,6,0,0,NA,NA,NA,5,0,0,0</t>
  </si>
  <si>
    <t>RESULT,3677901,ORIENTACAO,45graus,TAG3,3,3000,6,2,1,502,E2004718F0906027E2F6010C,182,4,0,0,0</t>
  </si>
  <si>
    <t>RESULT,3682909,ORIENTACAO,45graus,TAG3,4,3000,6,0,0,NA,NA,NA,5,0,0,0</t>
  </si>
  <si>
    <t>RESULT,3687913,ORIENTACAO,45graus,TAG3,5,3000,6,0,0,NA,NA,NA,5,0,0,0</t>
  </si>
  <si>
    <t>polls=6; leituras_tag=1; rssi_raw=180; externas=0; timeouts=0; invalidos=0; erros_comando=0; repeticao limpa apos execucao contaminada</t>
  </si>
  <si>
    <t>polls=6; leituras_tag=2; rssi_raw=190; externas=0; timeouts=0; invalidos=0; erros_comando=0; repeticao limpa apos execucao contaminada</t>
  </si>
  <si>
    <t>polls=6; leituras_tag=0; rssi_raw=NA; externas=0; timeouts=1; invalidos=0; erros_comando=0; repeticao limpa apos execucao contaminada</t>
  </si>
  <si>
    <t>polls=6; leituras_tag=3; rssi_raw=187; externas=0; timeouts=0; invalidos=1; erros_comando=0; repeticao limpa apos execucao contaminada</t>
  </si>
  <si>
    <t>polls=6; leituras_tag=2; rssi_raw=178; externas=0; timeouts=0; invalidos=0; erros_comando=0; repeticao limpa apos execucao contaminada</t>
  </si>
  <si>
    <t>polls=7; leituras_tag=4; rssi_raw=177; externas=0; timeouts=0; invalidos=0; erros_comando=0</t>
  </si>
  <si>
    <t>polls=7; leituras_tag=6; rssi_raw=178; externas=0; timeouts=0; invalidos=0; erros_comando=0</t>
  </si>
  <si>
    <t>polls=6; leituras_tag=4; rssi_raw=180; externas=0; timeouts=0; invalidos=0; erros_comando=0</t>
  </si>
  <si>
    <t>polls=7; leituras_tag=5; rssi_raw=184; externas=0; timeouts=1; invalidos=0; erros_comando=0</t>
  </si>
  <si>
    <t>polls=7; leituras_tag=7; rssi_raw=187; externas=0; timeouts=0; invalidos=0; erros_comando=0</t>
  </si>
  <si>
    <t>polls=6; leituras_tag=3; rssi_raw=185; externas=0; timeouts=0; invalidos=1; erros_comando=0</t>
  </si>
  <si>
    <t>polls=6; leituras_tag=5; rssi_raw=184; externas=0; timeouts=0; invalidos=0; erros_comando=0</t>
  </si>
  <si>
    <t>polls=6; leituras_tag=2; rssi_raw=190; externas=0; timeouts=0; invalidos=1; erros_comando=0</t>
  </si>
  <si>
    <t>polls=6; leituras_tag=5; rssi_raw=186; externas=0; timeouts=0; invalidos=1; erros_comando=0</t>
  </si>
  <si>
    <t>polls=6; leituras_tag=4; rssi_raw=183; externas=0; timeouts=0; invalidos=0; erros_comando=0</t>
  </si>
  <si>
    <t>polls=6; leituras_tag=5; rssi_raw=190; externas=0; timeouts=1; invalidos=0; erros_comando=0</t>
  </si>
  <si>
    <t>polls=7; leituras_tag=7; rssi_raw=191; externas=0; timeouts=0; invalidos=0; erros_comando=0</t>
  </si>
  <si>
    <t>polls=6; leituras_tag=6; rssi_raw=179; externas=0; timeouts=0; invalidos=0; erros_comando=0</t>
  </si>
  <si>
    <t>polls=7; leituras_tag=7; rssi_raw=178; externas=0; timeouts=0; invalidos=0; erros_comando=0</t>
  </si>
  <si>
    <t>polls=6; leituras_tag=6; rssi_raw=185; externas=0; timeouts=0; invalidos=0; erros_comando=0</t>
  </si>
  <si>
    <t>E28011704000021D4B8170E3, 300833B2DDD9014000000000, E28069150000402D9DF3F160, E2004718F0906027E2F6010C</t>
  </si>
  <si>
    <t>Janela adaptada de 10 s para 25 s; manter 25 s nas rodadas 2-5. TAG1 nao detectada. polls=51; leituras_validas=18; duplicatas=14; tempo_todas_ms=NA; timeouts=0; invalidos=0; overflow=0.</t>
  </si>
  <si>
    <t>E2004718F0906027E2F6010C, 300833B2DDD9014000000000, E28069150000402D9DF3F160, E28069950000401171B314B1</t>
  </si>
  <si>
    <t>TAG5 nao detectada. polls=50; leituras_validas=11; duplicatas=7; tempo_todas_ms=NA; timeouts=0; invalidos=2; overflow=0.</t>
  </si>
  <si>
    <t>E28069950000401171B314B1, E28069150000402D9DF3F160, 300833B2DDD9014000000000, E2004718F0906027E2F6010C</t>
  </si>
  <si>
    <t>TAG5 nao detectada. polls=50; leituras_validas=26; duplicatas=22; tempo_todas_ms=NA; timeouts=2; invalidos=0; overflow=0.</t>
  </si>
  <si>
    <t>E28069950000401171B314B1, E28011704000021D4B8170E3, E28069150000402D9DF3F160, E2004718F0906027E2F6010C</t>
  </si>
  <si>
    <t>TAG4 nao detectada. polls=50; leituras_validas=7; duplicatas=3; tempo_todas_ms=NA; timeouts=0; invalidos=2; overflow=0.</t>
  </si>
  <si>
    <t>E2004718F0906027E2F6010C, E28011704000021D4B8170E3, E28069950000401171B314B1</t>
  </si>
  <si>
    <t>TAG2 e TAG4 nao detectadas. polls=50; leituras_validas=11; duplicatas=8; tempo_todas_ms=NA; timeouts=0; invalidos=1; overflow=0.</t>
  </si>
  <si>
    <t>X</t>
  </si>
  <si>
    <t>13/07/2026</t>
  </si>
  <si>
    <t>NAO VERIFICADO PELO FIRMWARE</t>
  </si>
  <si>
    <t>2 s entre tentativas; 3 s antes da primeira</t>
  </si>
  <si>
    <t>SoftwareSerial a 115200 bit/s apresentou timeouts/quadros invalidos isolados. Execucoes contaminadas por tags externas foram preservadas no log e repetidas. Inventario adaptado de 10 s para 25 s em todas as 5 rodadas.</t>
  </si>
  <si>
    <t>Laboratorio de Praticas Digitais</t>
  </si>
  <si>
    <t>Arduino Uno</t>
  </si>
  <si>
    <t>arduino_rfid.ino; commit 41414ae; versao confirmada pelo operador</t>
  </si>
  <si>
    <t>5 pessoas</t>
  </si>
  <si>
    <t>4 objetos metalicos proximos; tipos e distancias nao informados</t>
  </si>
  <si>
    <t>Fotos pendentes; serao adicionadas posteriormente</t>
  </si>
  <si>
    <t>Suporte de papelao nos ensaios controlados</t>
  </si>
  <si>
    <t>Papelao; metal conforme ensaio de material</t>
  </si>
  <si>
    <t>1,50 m de distancia; 30 cm a esquerda</t>
  </si>
  <si>
    <t>Foto pendente; posicao informada pelo operador</t>
  </si>
  <si>
    <t>1,00 m de distancia; 25 cm a direita</t>
  </si>
  <si>
    <t>0,50 m de distancia; 11 cm a esquerda</t>
  </si>
  <si>
    <t>Posicao fixa no inventario</t>
  </si>
  <si>
    <t>NAO INFORMADO</t>
  </si>
  <si>
    <t>2,00 m de distancia; 35 cm a direita</t>
  </si>
  <si>
    <t>1,23 m de distancia; 22 cm a esquerda</t>
  </si>
  <si>
    <t>polls=7; leituras_tag=5; rssi_raw=190; externas=0; timeouts=0; invalidos=2; erros_comando=0; espacador_material=plastico; espessura=10mm</t>
  </si>
  <si>
    <t>polls=6; leituras_tag=4; rssi_raw=180; externas=0; timeouts=0; invalidos=0; erros_comando=0; espacador_material=plastico; espessura=10mm</t>
  </si>
  <si>
    <t>polls=6; leituras_tag=3; rssi_raw=180; externas=0; timeouts=0; invalidos=0; erros_comando=0; espacador_material=plastico; espessura=10mm</t>
  </si>
  <si>
    <t>polls=6; leituras_tag=5; rssi_raw=181; externas=0; timeouts=0; invalidos=0; erros_comando=0; espacador_material=plastico; espessura=10mm</t>
  </si>
  <si>
    <t>polls=7; leituras_tag=6; rssi_raw=182; externas=0; timeouts=0; invalidos=0; erros_comando=0; espacador_material=plastico; espessura=10mm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</si>
</sst>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&quot; m&quot;"/>
    <numFmt numFmtId="165" formatCode="0&quot;°&quot;"/>
    <numFmt numFmtId="166" formatCode="0.0"/>
  </numFmts>
  <fonts count="4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vertical="top" wrapText="1"/>
    </xf>
    <xf numFmtId="0" fontId="0" fillId="4" borderId="0" xfId="0" applyFill="1" applyAlignment="1">
      <alignment vertical="top" wrapText="1"/>
    </xf>
    <xf numFmtId="164" fontId="0" fillId="0" borderId="0" xfId="0" applyNumberFormat="1"/>
    <xf numFmtId="0" fontId="0" fillId="5" borderId="0" xfId="0" applyFill="1"/>
    <xf numFmtId="166" fontId="0" fillId="5" borderId="0" xfId="0" applyNumberFormat="1" applyFill="1"/>
    <xf numFmtId="165" fontId="0" fillId="0" borderId="0" xfId="0" applyNumberFormat="1"/>
    <xf numFmtId="0" fontId="0" fillId="4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20" fontId="0" fillId="4" borderId="0" xfId="0" applyNumberFormat="1" applyFill="1"/>
  </cellXfs>
  <cellStyles count="1">
    <cellStyle name="Normal" xfId="0" builtinId="0"/>
  </cellStyles>
  <dxfs count="6"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tabSelected="1" workbookViewId="0">
      <pane ySplit="2" topLeftCell="A3" activePane="bottomLeft" state="frozen"/>
      <selection pane="bottomLeft" sqref="A1:B1"/>
    </sheetView>
  </sheetViews>
  <sheetFormatPr defaultRowHeight="14.5" x14ac:dyDescent="0.35"/>
  <cols>
    <col min="1" max="1" width="24" customWidth="1"/>
    <col min="2" max="2" width="105" customWidth="1"/>
  </cols>
  <sheetData>
    <row r="1" spans="1:2" ht="28" customHeight="1" x14ac:dyDescent="0.35">
      <c r="A1" s="10" t="s">
        <v>0</v>
      </c>
      <c r="B1" s="11"/>
    </row>
    <row r="2" spans="1:2" ht="34" customHeight="1" x14ac:dyDescent="0.35">
      <c r="A2" s="1" t="s">
        <v>1</v>
      </c>
      <c r="B2" s="1" t="s">
        <v>2</v>
      </c>
    </row>
    <row r="3" spans="1:2" ht="32" customHeight="1" x14ac:dyDescent="0.35">
      <c r="A3" s="2" t="s">
        <v>3</v>
      </c>
      <c r="B3" s="3" t="s">
        <v>4</v>
      </c>
    </row>
    <row r="4" spans="1:2" ht="32" customHeight="1" x14ac:dyDescent="0.35">
      <c r="A4" s="2" t="s">
        <v>5</v>
      </c>
      <c r="B4" s="3" t="s">
        <v>6</v>
      </c>
    </row>
    <row r="5" spans="1:2" ht="32" customHeight="1" x14ac:dyDescent="0.35">
      <c r="A5" s="2" t="s">
        <v>7</v>
      </c>
      <c r="B5" s="3" t="s">
        <v>8</v>
      </c>
    </row>
    <row r="6" spans="1:2" ht="32" customHeight="1" x14ac:dyDescent="0.35">
      <c r="A6" s="2" t="s">
        <v>9</v>
      </c>
      <c r="B6" s="3" t="s">
        <v>10</v>
      </c>
    </row>
    <row r="7" spans="1:2" ht="32" customHeight="1" x14ac:dyDescent="0.35">
      <c r="A7" s="2" t="s">
        <v>11</v>
      </c>
      <c r="B7" s="3" t="s">
        <v>12</v>
      </c>
    </row>
    <row r="8" spans="1:2" ht="32" customHeight="1" x14ac:dyDescent="0.35">
      <c r="A8" s="2" t="s">
        <v>13</v>
      </c>
      <c r="B8" s="3" t="s">
        <v>14</v>
      </c>
    </row>
    <row r="9" spans="1:2" ht="32" customHeight="1" x14ac:dyDescent="0.35">
      <c r="A9" s="2" t="s">
        <v>15</v>
      </c>
      <c r="B9" s="3" t="s">
        <v>16</v>
      </c>
    </row>
    <row r="10" spans="1:2" ht="32" customHeight="1" x14ac:dyDescent="0.35">
      <c r="A10" s="2" t="s">
        <v>17</v>
      </c>
      <c r="B10" s="3" t="s">
        <v>18</v>
      </c>
    </row>
    <row r="11" spans="1:2" ht="32" customHeight="1" x14ac:dyDescent="0.35">
      <c r="A11" s="2" t="s">
        <v>19</v>
      </c>
      <c r="B11" s="3" t="s">
        <v>20</v>
      </c>
    </row>
    <row r="12" spans="1:2" ht="32" customHeight="1" x14ac:dyDescent="0.35">
      <c r="A12" s="2" t="s">
        <v>21</v>
      </c>
      <c r="B12" s="3" t="s">
        <v>22</v>
      </c>
    </row>
    <row r="13" spans="1:2" ht="32" customHeight="1" x14ac:dyDescent="0.35">
      <c r="A13" s="2" t="s">
        <v>23</v>
      </c>
      <c r="B13" s="3" t="s">
        <v>24</v>
      </c>
    </row>
    <row r="14" spans="1:2" ht="32" customHeight="1" x14ac:dyDescent="0.35">
      <c r="A14" s="2" t="s">
        <v>25</v>
      </c>
      <c r="B14" s="3" t="s">
        <v>26</v>
      </c>
    </row>
    <row r="15" spans="1:2" ht="32" customHeight="1" x14ac:dyDescent="0.35">
      <c r="A15" s="2" t="s">
        <v>27</v>
      </c>
      <c r="B15" s="3" t="s">
        <v>28</v>
      </c>
    </row>
    <row r="16" spans="1:2" ht="32" customHeight="1" x14ac:dyDescent="0.35">
      <c r="A16" s="2" t="s">
        <v>29</v>
      </c>
      <c r="B16" s="3" t="s">
        <v>30</v>
      </c>
    </row>
    <row r="17" spans="1:2" ht="32" customHeight="1" x14ac:dyDescent="0.35">
      <c r="A17" s="2" t="s">
        <v>31</v>
      </c>
      <c r="B17" s="3" t="s">
        <v>32</v>
      </c>
    </row>
    <row r="18" spans="1:2" ht="32" customHeight="1" x14ac:dyDescent="0.35">
      <c r="A18" s="2" t="s">
        <v>33</v>
      </c>
      <c r="B18" s="3" t="s">
        <v>34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0" customWidth="1"/>
    <col min="2" max="2" width="12" customWidth="1"/>
    <col min="3" max="3" width="66" customWidth="1"/>
    <col min="4" max="4" width="55" customWidth="1"/>
    <col min="5" max="5" width="16" customWidth="1"/>
  </cols>
  <sheetData>
    <row r="1" spans="1:5" ht="28" customHeight="1" x14ac:dyDescent="0.35">
      <c r="A1" s="10" t="s">
        <v>35</v>
      </c>
      <c r="B1" s="11"/>
      <c r="C1" s="11"/>
      <c r="D1" s="11"/>
      <c r="E1" s="11"/>
    </row>
    <row r="2" spans="1:5" ht="34" customHeight="1" x14ac:dyDescent="0.35">
      <c r="A2" s="1" t="s">
        <v>36</v>
      </c>
      <c r="B2" s="1" t="s">
        <v>37</v>
      </c>
      <c r="C2" s="1" t="s">
        <v>38</v>
      </c>
      <c r="D2" s="1" t="s">
        <v>39</v>
      </c>
      <c r="E2" s="1" t="s">
        <v>40</v>
      </c>
    </row>
    <row r="3" spans="1:5" ht="48" customHeight="1" x14ac:dyDescent="0.35">
      <c r="A3" s="3">
        <v>1</v>
      </c>
      <c r="B3" s="3" t="s">
        <v>41</v>
      </c>
      <c r="C3" s="3" t="s">
        <v>42</v>
      </c>
      <c r="D3" s="3" t="s">
        <v>43</v>
      </c>
      <c r="E3" s="4"/>
    </row>
    <row r="4" spans="1:5" ht="48" customHeight="1" x14ac:dyDescent="0.35">
      <c r="A4" s="3">
        <v>2</v>
      </c>
      <c r="B4" s="3" t="s">
        <v>44</v>
      </c>
      <c r="C4" s="3" t="s">
        <v>45</v>
      </c>
      <c r="D4" s="3" t="s">
        <v>46</v>
      </c>
      <c r="E4" s="4" t="s">
        <v>319</v>
      </c>
    </row>
    <row r="5" spans="1:5" ht="48" customHeight="1" x14ac:dyDescent="0.35">
      <c r="A5" s="3">
        <v>3</v>
      </c>
      <c r="B5" s="3" t="s">
        <v>47</v>
      </c>
      <c r="C5" s="3" t="s">
        <v>48</v>
      </c>
      <c r="D5" s="3" t="s">
        <v>49</v>
      </c>
      <c r="E5" s="4" t="s">
        <v>319</v>
      </c>
    </row>
    <row r="6" spans="1:5" ht="48" customHeight="1" x14ac:dyDescent="0.35">
      <c r="A6" s="3">
        <v>4</v>
      </c>
      <c r="B6" s="3" t="s">
        <v>50</v>
      </c>
      <c r="C6" s="3" t="s">
        <v>51</v>
      </c>
      <c r="D6" s="3" t="s">
        <v>52</v>
      </c>
      <c r="E6" s="4" t="s">
        <v>319</v>
      </c>
    </row>
    <row r="7" spans="1:5" ht="48" customHeight="1" x14ac:dyDescent="0.35">
      <c r="A7" s="3">
        <v>5</v>
      </c>
      <c r="B7" s="3" t="s">
        <v>41</v>
      </c>
      <c r="C7" s="3" t="s">
        <v>53</v>
      </c>
      <c r="D7" s="3" t="s">
        <v>54</v>
      </c>
      <c r="E7" s="4" t="s">
        <v>319</v>
      </c>
    </row>
    <row r="8" spans="1:5" ht="48" customHeight="1" x14ac:dyDescent="0.35">
      <c r="A8" s="3">
        <v>6</v>
      </c>
      <c r="B8" s="3" t="s">
        <v>55</v>
      </c>
      <c r="C8" s="3" t="s">
        <v>56</v>
      </c>
      <c r="D8" s="3" t="s">
        <v>57</v>
      </c>
      <c r="E8" s="4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8" customWidth="1"/>
    <col min="2" max="2" width="28" customWidth="1"/>
    <col min="3" max="6" width="14" customWidth="1"/>
    <col min="7" max="7" width="18" customWidth="1"/>
  </cols>
  <sheetData>
    <row r="1" spans="1:7" ht="28" customHeight="1" x14ac:dyDescent="0.35">
      <c r="A1" s="10" t="s">
        <v>58</v>
      </c>
      <c r="B1" s="11"/>
      <c r="C1" s="11"/>
      <c r="D1" s="11"/>
      <c r="E1" s="11"/>
      <c r="F1" s="11"/>
      <c r="G1" s="11"/>
    </row>
    <row r="2" spans="1:7" ht="34" customHeight="1" x14ac:dyDescent="0.35">
      <c r="A2" s="1" t="s">
        <v>59</v>
      </c>
      <c r="B2" s="1" t="s">
        <v>60</v>
      </c>
      <c r="C2" s="1" t="s">
        <v>61</v>
      </c>
      <c r="D2" s="1" t="s">
        <v>62</v>
      </c>
      <c r="E2" s="1" t="s">
        <v>63</v>
      </c>
      <c r="F2" s="1" t="s">
        <v>64</v>
      </c>
      <c r="G2" s="1" t="s">
        <v>65</v>
      </c>
    </row>
    <row r="3" spans="1:7" x14ac:dyDescent="0.35">
      <c r="A3" t="s">
        <v>23</v>
      </c>
      <c r="B3" s="5">
        <v>0.5</v>
      </c>
      <c r="C3">
        <v>15</v>
      </c>
      <c r="D3" s="6">
        <f>COUNTIFS(Alcance!$B:$B,B3,Alcance!$J:$J,"&lt;&gt;")</f>
        <v>15</v>
      </c>
      <c r="E3" s="6">
        <f>COUNTIFS(Alcance!$B:$B,B3,Alcance!$J:$J,1)</f>
        <v>15</v>
      </c>
      <c r="F3" s="7">
        <f t="shared" ref="F3:F12" si="0">IF(D3&gt;0,E3/D3*100,"")</f>
        <v>100</v>
      </c>
      <c r="G3" s="6" t="str">
        <f t="shared" ref="G3:G13" si="1">IF(D3=C3,"COMPLETO","PENDENTE")</f>
        <v>COMPLETO</v>
      </c>
    </row>
    <row r="4" spans="1:7" x14ac:dyDescent="0.35">
      <c r="A4" t="s">
        <v>23</v>
      </c>
      <c r="B4" s="5">
        <v>1</v>
      </c>
      <c r="C4">
        <v>15</v>
      </c>
      <c r="D4" s="6">
        <f>COUNTIFS(Alcance!$B:$B,B4,Alcance!$J:$J,"&lt;&gt;")</f>
        <v>15</v>
      </c>
      <c r="E4" s="6">
        <f>COUNTIFS(Alcance!$B:$B,B4,Alcance!$J:$J,1)</f>
        <v>11</v>
      </c>
      <c r="F4" s="7">
        <f t="shared" si="0"/>
        <v>73.333333333333329</v>
      </c>
      <c r="G4" s="6" t="str">
        <f t="shared" si="1"/>
        <v>COMPLETO</v>
      </c>
    </row>
    <row r="5" spans="1:7" x14ac:dyDescent="0.35">
      <c r="A5" t="s">
        <v>23</v>
      </c>
      <c r="B5" s="5">
        <v>1.5</v>
      </c>
      <c r="C5">
        <v>15</v>
      </c>
      <c r="D5" s="6">
        <f>COUNTIFS(Alcance!$B:$B,B5,Alcance!$J:$J,"&lt;&gt;")</f>
        <v>15</v>
      </c>
      <c r="E5" s="6">
        <f>COUNTIFS(Alcance!$B:$B,B5,Alcance!$J:$J,1)</f>
        <v>10</v>
      </c>
      <c r="F5" s="7">
        <f t="shared" si="0"/>
        <v>66.666666666666657</v>
      </c>
      <c r="G5" s="6" t="str">
        <f t="shared" si="1"/>
        <v>COMPLETO</v>
      </c>
    </row>
    <row r="6" spans="1:7" x14ac:dyDescent="0.35">
      <c r="A6" t="s">
        <v>23</v>
      </c>
      <c r="B6" s="5">
        <v>2</v>
      </c>
      <c r="C6">
        <v>15</v>
      </c>
      <c r="D6" s="6">
        <f>COUNTIFS(Alcance!$B:$B,B6,Alcance!$J:$J,"&lt;&gt;")</f>
        <v>15</v>
      </c>
      <c r="E6" s="6">
        <f>COUNTIFS(Alcance!$B:$B,B6,Alcance!$J:$J,1)</f>
        <v>8</v>
      </c>
      <c r="F6" s="7">
        <f t="shared" si="0"/>
        <v>53.333333333333336</v>
      </c>
      <c r="G6" s="6" t="str">
        <f t="shared" si="1"/>
        <v>COMPLETO</v>
      </c>
    </row>
    <row r="7" spans="1:7" x14ac:dyDescent="0.35">
      <c r="A7" t="s">
        <v>66</v>
      </c>
      <c r="B7" s="8">
        <v>0</v>
      </c>
      <c r="C7">
        <v>15</v>
      </c>
      <c r="D7" s="6">
        <f>COUNTIFS(Orientacao!$B:$B,B7,Orientacao!$J:$J,"&lt;&gt;")</f>
        <v>15</v>
      </c>
      <c r="E7" s="6">
        <f>COUNTIFS(Orientacao!$B:$B,B7,Orientacao!$J:$J,1)</f>
        <v>10</v>
      </c>
      <c r="F7" s="7">
        <f t="shared" si="0"/>
        <v>66.666666666666657</v>
      </c>
      <c r="G7" s="6" t="str">
        <f t="shared" si="1"/>
        <v>COMPLETO</v>
      </c>
    </row>
    <row r="8" spans="1:7" x14ac:dyDescent="0.35">
      <c r="A8" t="s">
        <v>66</v>
      </c>
      <c r="B8" s="8">
        <v>45</v>
      </c>
      <c r="C8">
        <v>15</v>
      </c>
      <c r="D8" s="6">
        <f>COUNTIFS(Orientacao!$B:$B,B8,Orientacao!$J:$J,"&lt;&gt;")</f>
        <v>15</v>
      </c>
      <c r="E8" s="6">
        <f>COUNTIFS(Orientacao!$B:$B,B8,Orientacao!$J:$J,1)</f>
        <v>13</v>
      </c>
      <c r="F8" s="7">
        <f t="shared" si="0"/>
        <v>86.666666666666671</v>
      </c>
      <c r="G8" s="6" t="str">
        <f t="shared" si="1"/>
        <v>COMPLETO</v>
      </c>
    </row>
    <row r="9" spans="1:7" x14ac:dyDescent="0.35">
      <c r="A9" t="s">
        <v>66</v>
      </c>
      <c r="B9" s="8">
        <v>90</v>
      </c>
      <c r="C9">
        <v>15</v>
      </c>
      <c r="D9" s="6">
        <f>COUNTIFS(Orientacao!$B:$B,B9,Orientacao!$J:$J,"&lt;&gt;")</f>
        <v>15</v>
      </c>
      <c r="E9" s="6">
        <f>COUNTIFS(Orientacao!$B:$B,B9,Orientacao!$J:$J,1)</f>
        <v>14</v>
      </c>
      <c r="F9" s="7">
        <f t="shared" si="0"/>
        <v>93.333333333333329</v>
      </c>
      <c r="G9" s="6" t="str">
        <f t="shared" si="1"/>
        <v>COMPLETO</v>
      </c>
    </row>
    <row r="10" spans="1:7" x14ac:dyDescent="0.35">
      <c r="A10" t="s">
        <v>27</v>
      </c>
      <c r="B10" t="s">
        <v>67</v>
      </c>
      <c r="C10">
        <v>5</v>
      </c>
      <c r="D10" s="6">
        <f>COUNTIFS(Material!$B:$B,B10,Material!$K:$K,"&lt;&gt;")</f>
        <v>5</v>
      </c>
      <c r="E10" s="6">
        <f>COUNTIFS(Material!$B:$B,B10,Material!$K:$K,1)</f>
        <v>5</v>
      </c>
      <c r="F10" s="7">
        <f t="shared" si="0"/>
        <v>100</v>
      </c>
      <c r="G10" s="6" t="str">
        <f t="shared" si="1"/>
        <v>COMPLETO</v>
      </c>
    </row>
    <row r="11" spans="1:7" x14ac:dyDescent="0.35">
      <c r="A11" t="s">
        <v>27</v>
      </c>
      <c r="B11" t="s">
        <v>68</v>
      </c>
      <c r="C11">
        <v>5</v>
      </c>
      <c r="D11" s="6">
        <f>COUNTIFS(Material!$B:$B,B11,Material!$K:$K,"&lt;&gt;")</f>
        <v>5</v>
      </c>
      <c r="E11" s="6">
        <f>COUNTIFS(Material!$B:$B,B11,Material!$K:$K,1)</f>
        <v>0</v>
      </c>
      <c r="F11" s="7">
        <f t="shared" si="0"/>
        <v>0</v>
      </c>
      <c r="G11" s="6" t="str">
        <f t="shared" si="1"/>
        <v>COMPLETO</v>
      </c>
    </row>
    <row r="12" spans="1:7" x14ac:dyDescent="0.35">
      <c r="A12" t="s">
        <v>27</v>
      </c>
      <c r="B12" t="s">
        <v>69</v>
      </c>
      <c r="C12">
        <v>5</v>
      </c>
      <c r="D12" s="6">
        <f>COUNTIFS(Material!$B:$B,B12,Material!$K:$K,"&lt;&gt;")</f>
        <v>5</v>
      </c>
      <c r="E12" s="6">
        <f>COUNTIFS(Material!$B:$B,B12,Material!$K:$K,1)</f>
        <v>5</v>
      </c>
      <c r="F12" s="7">
        <f t="shared" si="0"/>
        <v>100</v>
      </c>
      <c r="G12" s="6" t="str">
        <f t="shared" si="1"/>
        <v>COMPLETO</v>
      </c>
    </row>
    <row r="13" spans="1:7" x14ac:dyDescent="0.35">
      <c r="A13" t="s">
        <v>70</v>
      </c>
      <c r="B13" t="s">
        <v>71</v>
      </c>
      <c r="C13">
        <v>5</v>
      </c>
      <c r="D13" s="6">
        <f>COUNT(Inventario!$E$2:$E$6)</f>
        <v>5</v>
      </c>
      <c r="E13" s="6">
        <f>SUM(Inventario!$G$2:$G$6)</f>
        <v>0</v>
      </c>
      <c r="F13" s="7">
        <f>IFERROR(AVERAGE(Inventario!$F$2:$F$6),"")</f>
        <v>76</v>
      </c>
      <c r="G13" s="6" t="str">
        <f t="shared" si="1"/>
        <v>COMPLETO</v>
      </c>
    </row>
  </sheetData>
  <autoFilter ref="A2:G13" xr:uid="{00000000-0009-0000-0000-000002000000}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2" customWidth="1"/>
    <col min="2" max="2" width="38" customWidth="1"/>
    <col min="3" max="3" width="72" customWidth="1"/>
  </cols>
  <sheetData>
    <row r="1" spans="1:3" ht="34" customHeight="1" x14ac:dyDescent="0.35">
      <c r="A1" s="1" t="s">
        <v>72</v>
      </c>
      <c r="B1" s="1" t="s">
        <v>73</v>
      </c>
      <c r="C1" s="1" t="s">
        <v>74</v>
      </c>
    </row>
    <row r="2" spans="1:3" x14ac:dyDescent="0.35">
      <c r="A2" t="s">
        <v>75</v>
      </c>
      <c r="B2" s="9" t="s">
        <v>320</v>
      </c>
      <c r="C2" s="3" t="s">
        <v>76</v>
      </c>
    </row>
    <row r="3" spans="1:3" x14ac:dyDescent="0.35">
      <c r="A3" t="s">
        <v>77</v>
      </c>
      <c r="B3" s="12">
        <v>0.58333333333333337</v>
      </c>
      <c r="C3" s="3" t="s">
        <v>78</v>
      </c>
    </row>
    <row r="4" spans="1:3" x14ac:dyDescent="0.35">
      <c r="A4" t="s">
        <v>79</v>
      </c>
      <c r="B4" s="9" t="s">
        <v>324</v>
      </c>
      <c r="C4" s="3" t="s">
        <v>80</v>
      </c>
    </row>
    <row r="5" spans="1:3" x14ac:dyDescent="0.35">
      <c r="A5" t="s">
        <v>81</v>
      </c>
      <c r="B5" s="9" t="s">
        <v>82</v>
      </c>
      <c r="C5" s="3" t="s">
        <v>83</v>
      </c>
    </row>
    <row r="6" spans="1:3" x14ac:dyDescent="0.35">
      <c r="A6" t="s">
        <v>84</v>
      </c>
      <c r="B6" s="9" t="s">
        <v>85</v>
      </c>
      <c r="C6" s="3" t="s">
        <v>86</v>
      </c>
    </row>
    <row r="7" spans="1:3" x14ac:dyDescent="0.35">
      <c r="A7" t="s">
        <v>87</v>
      </c>
      <c r="B7" s="9" t="s">
        <v>325</v>
      </c>
      <c r="C7" s="3" t="s">
        <v>88</v>
      </c>
    </row>
    <row r="8" spans="1:3" x14ac:dyDescent="0.35">
      <c r="A8" t="s">
        <v>89</v>
      </c>
      <c r="B8" s="9" t="s">
        <v>326</v>
      </c>
      <c r="C8" s="3" t="s">
        <v>90</v>
      </c>
    </row>
    <row r="9" spans="1:3" x14ac:dyDescent="0.35">
      <c r="A9" t="s">
        <v>91</v>
      </c>
      <c r="B9" s="9" t="s">
        <v>92</v>
      </c>
      <c r="C9" s="3" t="s">
        <v>93</v>
      </c>
    </row>
    <row r="10" spans="1:3" x14ac:dyDescent="0.35">
      <c r="A10" t="s">
        <v>94</v>
      </c>
      <c r="B10" s="9">
        <v>5</v>
      </c>
      <c r="C10" s="3" t="s">
        <v>95</v>
      </c>
    </row>
    <row r="11" spans="1:3" x14ac:dyDescent="0.35">
      <c r="A11" t="s">
        <v>96</v>
      </c>
      <c r="B11" s="9" t="s">
        <v>97</v>
      </c>
      <c r="C11" s="3" t="s">
        <v>98</v>
      </c>
    </row>
    <row r="12" spans="1:3" x14ac:dyDescent="0.35">
      <c r="A12" t="s">
        <v>99</v>
      </c>
      <c r="B12" s="9" t="s">
        <v>321</v>
      </c>
      <c r="C12" s="3" t="s">
        <v>100</v>
      </c>
    </row>
    <row r="13" spans="1:3" x14ac:dyDescent="0.35">
      <c r="A13" t="s">
        <v>101</v>
      </c>
      <c r="B13" s="9">
        <v>26</v>
      </c>
      <c r="C13" s="3" t="s">
        <v>102</v>
      </c>
    </row>
    <row r="14" spans="1:3" x14ac:dyDescent="0.35">
      <c r="A14" t="s">
        <v>103</v>
      </c>
      <c r="B14" s="9">
        <v>150</v>
      </c>
      <c r="C14" s="3" t="s">
        <v>104</v>
      </c>
    </row>
    <row r="15" spans="1:3" x14ac:dyDescent="0.35">
      <c r="A15" t="s">
        <v>105</v>
      </c>
      <c r="B15" s="9" t="s">
        <v>106</v>
      </c>
      <c r="C15" s="3" t="s">
        <v>107</v>
      </c>
    </row>
    <row r="16" spans="1:3" x14ac:dyDescent="0.35">
      <c r="A16" t="s">
        <v>108</v>
      </c>
      <c r="B16" s="9">
        <v>115200</v>
      </c>
      <c r="C16" s="3" t="s">
        <v>109</v>
      </c>
    </row>
    <row r="17" spans="1:3" x14ac:dyDescent="0.35">
      <c r="A17" t="s">
        <v>110</v>
      </c>
      <c r="B17" s="9" t="s">
        <v>322</v>
      </c>
      <c r="C17" s="3" t="s">
        <v>111</v>
      </c>
    </row>
    <row r="18" spans="1:3" x14ac:dyDescent="0.35">
      <c r="A18" t="s">
        <v>112</v>
      </c>
      <c r="B18" s="9" t="s">
        <v>327</v>
      </c>
      <c r="C18" s="3" t="s">
        <v>113</v>
      </c>
    </row>
    <row r="19" spans="1:3" x14ac:dyDescent="0.35">
      <c r="A19" t="s">
        <v>114</v>
      </c>
      <c r="B19" s="9" t="s">
        <v>328</v>
      </c>
      <c r="C19" s="3" t="s">
        <v>115</v>
      </c>
    </row>
    <row r="20" spans="1:3" x14ac:dyDescent="0.35">
      <c r="A20" t="s">
        <v>116</v>
      </c>
      <c r="B20" s="9" t="s">
        <v>329</v>
      </c>
      <c r="C20" s="3" t="s">
        <v>117</v>
      </c>
    </row>
    <row r="21" spans="1:3" x14ac:dyDescent="0.35">
      <c r="A21" t="s">
        <v>118</v>
      </c>
      <c r="B21" s="9" t="s">
        <v>323</v>
      </c>
      <c r="C21" s="3" t="s">
        <v>119</v>
      </c>
    </row>
  </sheetData>
  <autoFilter ref="A1:C21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2" customWidth="1"/>
    <col min="2" max="2" width="42" customWidth="1"/>
    <col min="3" max="3" width="28" customWidth="1"/>
    <col min="4" max="4" width="22" customWidth="1"/>
    <col min="5" max="5" width="28" customWidth="1"/>
    <col min="6" max="6" width="55" customWidth="1"/>
  </cols>
  <sheetData>
    <row r="1" spans="1:6" ht="34" customHeight="1" x14ac:dyDescent="0.35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</row>
    <row r="2" spans="1:6" x14ac:dyDescent="0.35">
      <c r="A2" t="s">
        <v>126</v>
      </c>
      <c r="B2" s="9" t="s">
        <v>160</v>
      </c>
      <c r="C2" s="9" t="s">
        <v>330</v>
      </c>
      <c r="D2" s="9" t="s">
        <v>331</v>
      </c>
      <c r="E2" s="9" t="s">
        <v>332</v>
      </c>
      <c r="F2" s="9" t="s">
        <v>333</v>
      </c>
    </row>
    <row r="3" spans="1:6" x14ac:dyDescent="0.35">
      <c r="A3" t="s">
        <v>127</v>
      </c>
      <c r="B3" s="9" t="s">
        <v>166</v>
      </c>
      <c r="C3" s="9" t="s">
        <v>330</v>
      </c>
      <c r="D3" s="9" t="s">
        <v>67</v>
      </c>
      <c r="E3" s="9" t="s">
        <v>334</v>
      </c>
      <c r="F3" s="9" t="s">
        <v>333</v>
      </c>
    </row>
    <row r="4" spans="1:6" x14ac:dyDescent="0.35">
      <c r="A4" t="s">
        <v>128</v>
      </c>
      <c r="B4" s="9" t="s">
        <v>176</v>
      </c>
      <c r="C4" s="9" t="s">
        <v>330</v>
      </c>
      <c r="D4" s="9" t="s">
        <v>67</v>
      </c>
      <c r="E4" s="9" t="s">
        <v>335</v>
      </c>
      <c r="F4" s="9" t="s">
        <v>333</v>
      </c>
    </row>
    <row r="5" spans="1:6" x14ac:dyDescent="0.35">
      <c r="A5" t="s">
        <v>129</v>
      </c>
      <c r="B5" s="9" t="s">
        <v>237</v>
      </c>
      <c r="C5" s="9" t="s">
        <v>336</v>
      </c>
      <c r="D5" s="9" t="s">
        <v>337</v>
      </c>
      <c r="E5" s="9" t="s">
        <v>338</v>
      </c>
      <c r="F5" s="9" t="s">
        <v>333</v>
      </c>
    </row>
    <row r="6" spans="1:6" x14ac:dyDescent="0.35">
      <c r="A6" t="s">
        <v>130</v>
      </c>
      <c r="B6" s="9" t="s">
        <v>247</v>
      </c>
      <c r="C6" s="9" t="s">
        <v>336</v>
      </c>
      <c r="D6" s="9" t="s">
        <v>337</v>
      </c>
      <c r="E6" s="9" t="s">
        <v>339</v>
      </c>
      <c r="F6" s="9" t="s">
        <v>333</v>
      </c>
    </row>
  </sheetData>
  <autoFilter ref="A1:F6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6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9" customWidth="1"/>
    <col min="2" max="2" width="20" customWidth="1"/>
    <col min="3" max="3" width="11" customWidth="1"/>
    <col min="4" max="4" width="10" customWidth="1"/>
    <col min="5" max="5" width="18" customWidth="1"/>
    <col min="6" max="6" width="16" customWidth="1"/>
    <col min="7" max="7" width="18" customWidth="1"/>
    <col min="8" max="8" width="21" customWidth="1"/>
    <col min="9" max="9" width="18" customWidth="1"/>
    <col min="10" max="10" width="16" customWidth="1"/>
    <col min="11" max="11" width="38" customWidth="1"/>
    <col min="12" max="12" width="24" customWidth="1"/>
    <col min="13" max="13" width="55" customWidth="1"/>
  </cols>
  <sheetData>
    <row r="1" spans="1:13" ht="34" customHeight="1" x14ac:dyDescent="0.35">
      <c r="A1" s="1" t="s">
        <v>131</v>
      </c>
      <c r="B1" s="1" t="s">
        <v>132</v>
      </c>
      <c r="C1" s="1" t="s">
        <v>120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</row>
    <row r="2" spans="1:13" x14ac:dyDescent="0.35">
      <c r="A2">
        <v>1</v>
      </c>
      <c r="B2">
        <v>0.5</v>
      </c>
      <c r="C2" t="s">
        <v>126</v>
      </c>
      <c r="D2">
        <v>1</v>
      </c>
      <c r="E2">
        <v>150</v>
      </c>
      <c r="F2">
        <v>150</v>
      </c>
      <c r="G2">
        <v>0</v>
      </c>
      <c r="H2" t="s">
        <v>67</v>
      </c>
      <c r="I2">
        <v>3</v>
      </c>
      <c r="J2" s="9">
        <v>1</v>
      </c>
      <c r="K2" s="9" t="s">
        <v>160</v>
      </c>
      <c r="L2" s="9">
        <v>1.9E-2</v>
      </c>
      <c r="M2" s="9" t="s">
        <v>161</v>
      </c>
    </row>
    <row r="3" spans="1:13" x14ac:dyDescent="0.35">
      <c r="A3">
        <v>2</v>
      </c>
      <c r="B3">
        <v>0.5</v>
      </c>
      <c r="C3" t="s">
        <v>126</v>
      </c>
      <c r="D3">
        <v>2</v>
      </c>
      <c r="E3">
        <v>150</v>
      </c>
      <c r="F3">
        <v>150</v>
      </c>
      <c r="G3">
        <v>0</v>
      </c>
      <c r="H3" t="s">
        <v>67</v>
      </c>
      <c r="I3">
        <v>3</v>
      </c>
      <c r="J3" s="9">
        <v>1</v>
      </c>
      <c r="K3" s="9" t="s">
        <v>160</v>
      </c>
      <c r="L3" s="9">
        <v>1.9E-2</v>
      </c>
      <c r="M3" s="9" t="s">
        <v>162</v>
      </c>
    </row>
    <row r="4" spans="1:13" x14ac:dyDescent="0.35">
      <c r="A4">
        <v>3</v>
      </c>
      <c r="B4">
        <v>0.5</v>
      </c>
      <c r="C4" t="s">
        <v>126</v>
      </c>
      <c r="D4">
        <v>3</v>
      </c>
      <c r="E4">
        <v>150</v>
      </c>
      <c r="F4">
        <v>150</v>
      </c>
      <c r="G4">
        <v>0</v>
      </c>
      <c r="H4" t="s">
        <v>67</v>
      </c>
      <c r="I4">
        <v>3</v>
      </c>
      <c r="J4" s="9">
        <v>1</v>
      </c>
      <c r="K4" s="9" t="s">
        <v>160</v>
      </c>
      <c r="L4" s="9">
        <v>2.8000000000000001E-2</v>
      </c>
      <c r="M4" s="9" t="s">
        <v>163</v>
      </c>
    </row>
    <row r="5" spans="1:13" x14ac:dyDescent="0.35">
      <c r="A5">
        <v>4</v>
      </c>
      <c r="B5">
        <v>0.5</v>
      </c>
      <c r="C5" t="s">
        <v>126</v>
      </c>
      <c r="D5">
        <v>4</v>
      </c>
      <c r="E5">
        <v>150</v>
      </c>
      <c r="F5">
        <v>150</v>
      </c>
      <c r="G5">
        <v>0</v>
      </c>
      <c r="H5" t="s">
        <v>67</v>
      </c>
      <c r="I5">
        <v>3</v>
      </c>
      <c r="J5" s="9">
        <v>1</v>
      </c>
      <c r="K5" s="9" t="s">
        <v>160</v>
      </c>
      <c r="L5" s="9">
        <v>1.9E-2</v>
      </c>
      <c r="M5" s="9" t="s">
        <v>164</v>
      </c>
    </row>
    <row r="6" spans="1:13" x14ac:dyDescent="0.35">
      <c r="A6">
        <v>5</v>
      </c>
      <c r="B6">
        <v>0.5</v>
      </c>
      <c r="C6" t="s">
        <v>126</v>
      </c>
      <c r="D6">
        <v>5</v>
      </c>
      <c r="E6">
        <v>150</v>
      </c>
      <c r="F6">
        <v>150</v>
      </c>
      <c r="G6">
        <v>0</v>
      </c>
      <c r="H6" t="s">
        <v>67</v>
      </c>
      <c r="I6">
        <v>3</v>
      </c>
      <c r="J6" s="9">
        <v>1</v>
      </c>
      <c r="K6" s="9" t="s">
        <v>160</v>
      </c>
      <c r="L6" s="9">
        <v>1.9E-2</v>
      </c>
      <c r="M6" s="9" t="s">
        <v>165</v>
      </c>
    </row>
    <row r="7" spans="1:13" x14ac:dyDescent="0.35">
      <c r="A7">
        <v>6</v>
      </c>
      <c r="B7">
        <v>0.5</v>
      </c>
      <c r="C7" t="s">
        <v>127</v>
      </c>
      <c r="D7">
        <v>1</v>
      </c>
      <c r="E7">
        <v>150</v>
      </c>
      <c r="F7">
        <v>150</v>
      </c>
      <c r="G7">
        <v>0</v>
      </c>
      <c r="H7" t="s">
        <v>67</v>
      </c>
      <c r="I7">
        <v>3</v>
      </c>
      <c r="J7" s="9">
        <v>1</v>
      </c>
      <c r="K7" s="9" t="s">
        <v>166</v>
      </c>
      <c r="L7" s="9">
        <v>0.02</v>
      </c>
      <c r="M7" s="9" t="s">
        <v>174</v>
      </c>
    </row>
    <row r="8" spans="1:13" x14ac:dyDescent="0.35">
      <c r="A8">
        <v>7</v>
      </c>
      <c r="B8">
        <v>0.5</v>
      </c>
      <c r="C8" t="s">
        <v>127</v>
      </c>
      <c r="D8">
        <v>2</v>
      </c>
      <c r="E8">
        <v>150</v>
      </c>
      <c r="F8">
        <v>150</v>
      </c>
      <c r="G8">
        <v>0</v>
      </c>
      <c r="H8" t="s">
        <v>67</v>
      </c>
      <c r="I8">
        <v>3</v>
      </c>
      <c r="J8" s="9">
        <v>1</v>
      </c>
      <c r="K8" s="9" t="s">
        <v>166</v>
      </c>
      <c r="L8" s="9">
        <v>1.7000000000000001E-2</v>
      </c>
      <c r="M8" s="9" t="s">
        <v>175</v>
      </c>
    </row>
    <row r="9" spans="1:13" x14ac:dyDescent="0.35">
      <c r="A9">
        <v>8</v>
      </c>
      <c r="B9">
        <v>0.5</v>
      </c>
      <c r="C9" t="s">
        <v>127</v>
      </c>
      <c r="D9">
        <v>3</v>
      </c>
      <c r="E9">
        <v>150</v>
      </c>
      <c r="F9">
        <v>150</v>
      </c>
      <c r="G9">
        <v>0</v>
      </c>
      <c r="H9" t="s">
        <v>67</v>
      </c>
      <c r="I9">
        <v>3</v>
      </c>
      <c r="J9" s="9">
        <v>1</v>
      </c>
      <c r="K9" s="9" t="s">
        <v>166</v>
      </c>
      <c r="L9" s="9">
        <v>2.4E-2</v>
      </c>
      <c r="M9" s="9" t="s">
        <v>174</v>
      </c>
    </row>
    <row r="10" spans="1:13" x14ac:dyDescent="0.35">
      <c r="A10">
        <v>9</v>
      </c>
      <c r="B10">
        <v>0.5</v>
      </c>
      <c r="C10" t="s">
        <v>127</v>
      </c>
      <c r="D10">
        <v>4</v>
      </c>
      <c r="E10">
        <v>150</v>
      </c>
      <c r="F10">
        <v>150</v>
      </c>
      <c r="G10">
        <v>0</v>
      </c>
      <c r="H10" t="s">
        <v>67</v>
      </c>
      <c r="I10">
        <v>3</v>
      </c>
      <c r="J10" s="9">
        <v>1</v>
      </c>
      <c r="K10" s="9" t="s">
        <v>166</v>
      </c>
      <c r="L10" s="9">
        <v>1.9E-2</v>
      </c>
      <c r="M10" s="9" t="s">
        <v>174</v>
      </c>
    </row>
    <row r="11" spans="1:13" x14ac:dyDescent="0.35">
      <c r="A11">
        <v>10</v>
      </c>
      <c r="B11">
        <v>0.5</v>
      </c>
      <c r="C11" t="s">
        <v>127</v>
      </c>
      <c r="D11">
        <v>5</v>
      </c>
      <c r="E11">
        <v>150</v>
      </c>
      <c r="F11">
        <v>150</v>
      </c>
      <c r="G11">
        <v>0</v>
      </c>
      <c r="H11" t="s">
        <v>67</v>
      </c>
      <c r="I11">
        <v>3</v>
      </c>
      <c r="J11" s="9">
        <v>1</v>
      </c>
      <c r="K11" s="9" t="s">
        <v>166</v>
      </c>
      <c r="L11" s="9">
        <v>0.02</v>
      </c>
      <c r="M11" s="9" t="s">
        <v>174</v>
      </c>
    </row>
    <row r="12" spans="1:13" x14ac:dyDescent="0.35">
      <c r="A12">
        <v>11</v>
      </c>
      <c r="B12">
        <v>0.5</v>
      </c>
      <c r="C12" t="s">
        <v>128</v>
      </c>
      <c r="D12">
        <v>1</v>
      </c>
      <c r="E12">
        <v>150</v>
      </c>
      <c r="F12">
        <v>150</v>
      </c>
      <c r="G12">
        <v>0</v>
      </c>
      <c r="H12" t="s">
        <v>67</v>
      </c>
      <c r="I12">
        <v>3</v>
      </c>
      <c r="J12" s="9">
        <v>1</v>
      </c>
      <c r="K12" s="9" t="s">
        <v>176</v>
      </c>
      <c r="L12" s="9">
        <v>1.7000000000000001E-2</v>
      </c>
      <c r="M12" s="9" t="s">
        <v>177</v>
      </c>
    </row>
    <row r="13" spans="1:13" x14ac:dyDescent="0.35">
      <c r="A13">
        <v>12</v>
      </c>
      <c r="B13">
        <v>0.5</v>
      </c>
      <c r="C13" t="s">
        <v>128</v>
      </c>
      <c r="D13">
        <v>2</v>
      </c>
      <c r="E13">
        <v>150</v>
      </c>
      <c r="F13">
        <v>150</v>
      </c>
      <c r="G13">
        <v>0</v>
      </c>
      <c r="H13" t="s">
        <v>67</v>
      </c>
      <c r="I13">
        <v>3</v>
      </c>
      <c r="J13" s="9">
        <v>1</v>
      </c>
      <c r="K13" s="9" t="s">
        <v>176</v>
      </c>
      <c r="L13" s="9">
        <v>1.9E-2</v>
      </c>
      <c r="M13" s="9" t="s">
        <v>178</v>
      </c>
    </row>
    <row r="14" spans="1:13" x14ac:dyDescent="0.35">
      <c r="A14">
        <v>13</v>
      </c>
      <c r="B14">
        <v>0.5</v>
      </c>
      <c r="C14" t="s">
        <v>128</v>
      </c>
      <c r="D14">
        <v>3</v>
      </c>
      <c r="E14">
        <v>150</v>
      </c>
      <c r="F14">
        <v>150</v>
      </c>
      <c r="G14">
        <v>0</v>
      </c>
      <c r="H14" t="s">
        <v>67</v>
      </c>
      <c r="I14">
        <v>3</v>
      </c>
      <c r="J14" s="9">
        <v>1</v>
      </c>
      <c r="K14" s="9" t="s">
        <v>176</v>
      </c>
      <c r="L14" s="9">
        <v>1.7999999999999999E-2</v>
      </c>
      <c r="M14" s="9" t="s">
        <v>179</v>
      </c>
    </row>
    <row r="15" spans="1:13" x14ac:dyDescent="0.35">
      <c r="A15">
        <v>14</v>
      </c>
      <c r="B15">
        <v>0.5</v>
      </c>
      <c r="C15" t="s">
        <v>128</v>
      </c>
      <c r="D15">
        <v>4</v>
      </c>
      <c r="E15">
        <v>150</v>
      </c>
      <c r="F15">
        <v>150</v>
      </c>
      <c r="G15">
        <v>0</v>
      </c>
      <c r="H15" t="s">
        <v>67</v>
      </c>
      <c r="I15">
        <v>3</v>
      </c>
      <c r="J15" s="9">
        <v>1</v>
      </c>
      <c r="K15" s="9" t="s">
        <v>176</v>
      </c>
      <c r="L15" s="9">
        <v>2.1000000000000001E-2</v>
      </c>
      <c r="M15" s="9" t="s">
        <v>179</v>
      </c>
    </row>
    <row r="16" spans="1:13" x14ac:dyDescent="0.35">
      <c r="A16">
        <v>15</v>
      </c>
      <c r="B16">
        <v>0.5</v>
      </c>
      <c r="C16" t="s">
        <v>128</v>
      </c>
      <c r="D16">
        <v>5</v>
      </c>
      <c r="E16">
        <v>150</v>
      </c>
      <c r="F16">
        <v>150</v>
      </c>
      <c r="G16">
        <v>0</v>
      </c>
      <c r="H16" t="s">
        <v>67</v>
      </c>
      <c r="I16">
        <v>3</v>
      </c>
      <c r="J16" s="9">
        <v>1</v>
      </c>
      <c r="K16" s="9" t="s">
        <v>176</v>
      </c>
      <c r="L16" s="9">
        <v>0.02</v>
      </c>
      <c r="M16" s="9" t="s">
        <v>180</v>
      </c>
    </row>
    <row r="17" spans="1:13" x14ac:dyDescent="0.35">
      <c r="A17">
        <v>16</v>
      </c>
      <c r="B17">
        <v>1</v>
      </c>
      <c r="C17" t="s">
        <v>126</v>
      </c>
      <c r="D17">
        <v>1</v>
      </c>
      <c r="E17">
        <v>150</v>
      </c>
      <c r="F17">
        <v>150</v>
      </c>
      <c r="G17">
        <v>0</v>
      </c>
      <c r="H17" t="s">
        <v>67</v>
      </c>
      <c r="I17">
        <v>3</v>
      </c>
      <c r="J17" s="9">
        <v>1</v>
      </c>
      <c r="K17" s="9" t="s">
        <v>160</v>
      </c>
      <c r="L17" s="9">
        <v>0.53900000000000003</v>
      </c>
      <c r="M17" s="9" t="s">
        <v>182</v>
      </c>
    </row>
    <row r="18" spans="1:13" x14ac:dyDescent="0.35">
      <c r="A18">
        <v>17</v>
      </c>
      <c r="B18">
        <v>1</v>
      </c>
      <c r="C18" t="s">
        <v>126</v>
      </c>
      <c r="D18">
        <v>2</v>
      </c>
      <c r="E18">
        <v>150</v>
      </c>
      <c r="F18">
        <v>150</v>
      </c>
      <c r="G18">
        <v>0</v>
      </c>
      <c r="H18" t="s">
        <v>67</v>
      </c>
      <c r="I18">
        <v>3</v>
      </c>
      <c r="J18" s="9">
        <v>1</v>
      </c>
      <c r="K18" s="9" t="s">
        <v>160</v>
      </c>
      <c r="L18" s="9">
        <v>1.9E-2</v>
      </c>
      <c r="M18" s="9" t="s">
        <v>183</v>
      </c>
    </row>
    <row r="19" spans="1:13" x14ac:dyDescent="0.35">
      <c r="A19">
        <v>18</v>
      </c>
      <c r="B19">
        <v>1</v>
      </c>
      <c r="C19" t="s">
        <v>126</v>
      </c>
      <c r="D19">
        <v>3</v>
      </c>
      <c r="E19">
        <v>150</v>
      </c>
      <c r="F19">
        <v>150</v>
      </c>
      <c r="G19">
        <v>0</v>
      </c>
      <c r="H19" t="s">
        <v>67</v>
      </c>
      <c r="I19">
        <v>3</v>
      </c>
      <c r="J19" s="9">
        <v>1</v>
      </c>
      <c r="K19" s="9" t="s">
        <v>160</v>
      </c>
      <c r="L19" s="9">
        <v>0.02</v>
      </c>
      <c r="M19" s="9" t="s">
        <v>184</v>
      </c>
    </row>
    <row r="20" spans="1:13" x14ac:dyDescent="0.35">
      <c r="A20">
        <v>19</v>
      </c>
      <c r="B20">
        <v>1</v>
      </c>
      <c r="C20" t="s">
        <v>126</v>
      </c>
      <c r="D20">
        <v>4</v>
      </c>
      <c r="E20">
        <v>150</v>
      </c>
      <c r="F20">
        <v>150</v>
      </c>
      <c r="G20">
        <v>0</v>
      </c>
      <c r="H20" t="s">
        <v>67</v>
      </c>
      <c r="I20">
        <v>3</v>
      </c>
      <c r="J20" s="9">
        <v>1</v>
      </c>
      <c r="K20" s="9" t="s">
        <v>160</v>
      </c>
      <c r="L20" s="9">
        <v>0.52100000000000002</v>
      </c>
      <c r="M20" s="9" t="s">
        <v>185</v>
      </c>
    </row>
    <row r="21" spans="1:13" x14ac:dyDescent="0.35">
      <c r="A21">
        <v>20</v>
      </c>
      <c r="B21">
        <v>1</v>
      </c>
      <c r="C21" t="s">
        <v>126</v>
      </c>
      <c r="D21">
        <v>5</v>
      </c>
      <c r="E21">
        <v>150</v>
      </c>
      <c r="F21">
        <v>150</v>
      </c>
      <c r="G21">
        <v>0</v>
      </c>
      <c r="H21" t="s">
        <v>67</v>
      </c>
      <c r="I21">
        <v>3</v>
      </c>
      <c r="J21" s="9">
        <v>1</v>
      </c>
      <c r="K21" s="9" t="s">
        <v>160</v>
      </c>
      <c r="L21" s="9">
        <v>4.2999999999999997E-2</v>
      </c>
      <c r="M21" s="9" t="s">
        <v>186</v>
      </c>
    </row>
    <row r="22" spans="1:13" x14ac:dyDescent="0.35">
      <c r="A22">
        <v>21</v>
      </c>
      <c r="B22">
        <v>1</v>
      </c>
      <c r="C22" t="s">
        <v>127</v>
      </c>
      <c r="D22">
        <v>1</v>
      </c>
      <c r="E22">
        <v>150</v>
      </c>
      <c r="F22">
        <v>150</v>
      </c>
      <c r="G22">
        <v>0</v>
      </c>
      <c r="H22" t="s">
        <v>67</v>
      </c>
      <c r="I22">
        <v>3</v>
      </c>
      <c r="J22" s="9">
        <v>1</v>
      </c>
      <c r="K22" s="9" t="s">
        <v>166</v>
      </c>
      <c r="L22" s="9">
        <v>1.7999999999999999E-2</v>
      </c>
      <c r="M22" s="9" t="s">
        <v>187</v>
      </c>
    </row>
    <row r="23" spans="1:13" x14ac:dyDescent="0.35">
      <c r="A23">
        <v>22</v>
      </c>
      <c r="B23">
        <v>1</v>
      </c>
      <c r="C23" t="s">
        <v>127</v>
      </c>
      <c r="D23">
        <v>2</v>
      </c>
      <c r="E23">
        <v>150</v>
      </c>
      <c r="F23">
        <v>150</v>
      </c>
      <c r="G23">
        <v>0</v>
      </c>
      <c r="H23" t="s">
        <v>67</v>
      </c>
      <c r="I23">
        <v>3</v>
      </c>
      <c r="J23" s="9">
        <v>1</v>
      </c>
      <c r="K23" s="9" t="s">
        <v>166</v>
      </c>
      <c r="L23" s="9">
        <v>0.02</v>
      </c>
      <c r="M23" s="9" t="s">
        <v>188</v>
      </c>
    </row>
    <row r="24" spans="1:13" x14ac:dyDescent="0.35">
      <c r="A24">
        <v>23</v>
      </c>
      <c r="B24">
        <v>1</v>
      </c>
      <c r="C24" t="s">
        <v>127</v>
      </c>
      <c r="D24">
        <v>3</v>
      </c>
      <c r="E24">
        <v>150</v>
      </c>
      <c r="F24">
        <v>150</v>
      </c>
      <c r="G24">
        <v>0</v>
      </c>
      <c r="H24" t="s">
        <v>67</v>
      </c>
      <c r="I24">
        <v>3</v>
      </c>
      <c r="J24" s="9">
        <v>1</v>
      </c>
      <c r="K24" s="9" t="s">
        <v>166</v>
      </c>
      <c r="L24" s="9">
        <v>1.9E-2</v>
      </c>
      <c r="M24" s="9" t="s">
        <v>189</v>
      </c>
    </row>
    <row r="25" spans="1:13" x14ac:dyDescent="0.35">
      <c r="A25">
        <v>24</v>
      </c>
      <c r="B25">
        <v>1</v>
      </c>
      <c r="C25" t="s">
        <v>127</v>
      </c>
      <c r="D25">
        <v>4</v>
      </c>
      <c r="E25">
        <v>150</v>
      </c>
      <c r="F25">
        <v>150</v>
      </c>
      <c r="G25">
        <v>0</v>
      </c>
      <c r="H25" t="s">
        <v>67</v>
      </c>
      <c r="I25">
        <v>3</v>
      </c>
      <c r="J25" s="9">
        <v>1</v>
      </c>
      <c r="K25" s="9" t="s">
        <v>166</v>
      </c>
      <c r="L25" s="9">
        <v>2.5999999999999999E-2</v>
      </c>
      <c r="M25" s="9" t="s">
        <v>190</v>
      </c>
    </row>
    <row r="26" spans="1:13" x14ac:dyDescent="0.35">
      <c r="A26">
        <v>25</v>
      </c>
      <c r="B26">
        <v>1</v>
      </c>
      <c r="C26" t="s">
        <v>127</v>
      </c>
      <c r="D26">
        <v>5</v>
      </c>
      <c r="E26">
        <v>150</v>
      </c>
      <c r="F26">
        <v>150</v>
      </c>
      <c r="G26">
        <v>0</v>
      </c>
      <c r="H26" t="s">
        <v>67</v>
      </c>
      <c r="I26">
        <v>3</v>
      </c>
      <c r="J26" s="9">
        <v>1</v>
      </c>
      <c r="K26" s="9" t="s">
        <v>166</v>
      </c>
      <c r="L26" s="9">
        <v>1.0209999999999999</v>
      </c>
      <c r="M26" s="9" t="s">
        <v>191</v>
      </c>
    </row>
    <row r="27" spans="1:13" x14ac:dyDescent="0.35">
      <c r="A27">
        <v>26</v>
      </c>
      <c r="B27">
        <v>1</v>
      </c>
      <c r="C27" t="s">
        <v>128</v>
      </c>
      <c r="D27">
        <v>1</v>
      </c>
      <c r="E27">
        <v>150</v>
      </c>
      <c r="F27">
        <v>150</v>
      </c>
      <c r="G27">
        <v>0</v>
      </c>
      <c r="H27" t="s">
        <v>67</v>
      </c>
      <c r="I27">
        <v>3</v>
      </c>
      <c r="J27" s="9">
        <v>0</v>
      </c>
      <c r="K27" s="9"/>
      <c r="L27" s="9"/>
      <c r="M27" s="9" t="s">
        <v>192</v>
      </c>
    </row>
    <row r="28" spans="1:13" x14ac:dyDescent="0.35">
      <c r="A28">
        <v>27</v>
      </c>
      <c r="B28">
        <v>1</v>
      </c>
      <c r="C28" t="s">
        <v>128</v>
      </c>
      <c r="D28">
        <v>2</v>
      </c>
      <c r="E28">
        <v>150</v>
      </c>
      <c r="F28">
        <v>150</v>
      </c>
      <c r="G28">
        <v>0</v>
      </c>
      <c r="H28" t="s">
        <v>67</v>
      </c>
      <c r="I28">
        <v>3</v>
      </c>
      <c r="J28" s="9">
        <v>0</v>
      </c>
      <c r="K28" s="9"/>
      <c r="L28" s="9"/>
      <c r="M28" s="9" t="s">
        <v>192</v>
      </c>
    </row>
    <row r="29" spans="1:13" x14ac:dyDescent="0.35">
      <c r="A29">
        <v>28</v>
      </c>
      <c r="B29">
        <v>1</v>
      </c>
      <c r="C29" t="s">
        <v>128</v>
      </c>
      <c r="D29">
        <v>3</v>
      </c>
      <c r="E29">
        <v>150</v>
      </c>
      <c r="F29">
        <v>150</v>
      </c>
      <c r="G29">
        <v>0</v>
      </c>
      <c r="H29" t="s">
        <v>67</v>
      </c>
      <c r="I29">
        <v>3</v>
      </c>
      <c r="J29" s="9">
        <v>0</v>
      </c>
      <c r="K29" s="9"/>
      <c r="L29" s="9"/>
      <c r="M29" s="9" t="s">
        <v>192</v>
      </c>
    </row>
    <row r="30" spans="1:13" x14ac:dyDescent="0.35">
      <c r="A30">
        <v>29</v>
      </c>
      <c r="B30">
        <v>1</v>
      </c>
      <c r="C30" t="s">
        <v>128</v>
      </c>
      <c r="D30">
        <v>4</v>
      </c>
      <c r="E30">
        <v>150</v>
      </c>
      <c r="F30">
        <v>150</v>
      </c>
      <c r="G30">
        <v>0</v>
      </c>
      <c r="H30" t="s">
        <v>67</v>
      </c>
      <c r="I30">
        <v>3</v>
      </c>
      <c r="J30" s="9">
        <v>0</v>
      </c>
      <c r="K30" s="9"/>
      <c r="L30" s="9"/>
      <c r="M30" s="9" t="s">
        <v>192</v>
      </c>
    </row>
    <row r="31" spans="1:13" x14ac:dyDescent="0.35">
      <c r="A31">
        <v>30</v>
      </c>
      <c r="B31">
        <v>1</v>
      </c>
      <c r="C31" t="s">
        <v>128</v>
      </c>
      <c r="D31">
        <v>5</v>
      </c>
      <c r="E31">
        <v>150</v>
      </c>
      <c r="F31">
        <v>150</v>
      </c>
      <c r="G31">
        <v>0</v>
      </c>
      <c r="H31" t="s">
        <v>67</v>
      </c>
      <c r="I31">
        <v>3</v>
      </c>
      <c r="J31" s="9">
        <v>1</v>
      </c>
      <c r="K31" s="9" t="s">
        <v>176</v>
      </c>
      <c r="L31" s="9">
        <v>1.7999999999999999E-2</v>
      </c>
      <c r="M31" s="9" t="s">
        <v>181</v>
      </c>
    </row>
    <row r="32" spans="1:13" x14ac:dyDescent="0.35">
      <c r="A32">
        <v>31</v>
      </c>
      <c r="B32">
        <v>1.5</v>
      </c>
      <c r="C32" t="s">
        <v>126</v>
      </c>
      <c r="D32">
        <v>1</v>
      </c>
      <c r="E32">
        <v>150</v>
      </c>
      <c r="F32">
        <v>150</v>
      </c>
      <c r="G32">
        <v>0</v>
      </c>
      <c r="H32" t="s">
        <v>67</v>
      </c>
      <c r="I32">
        <v>3</v>
      </c>
      <c r="J32" s="9">
        <v>1</v>
      </c>
      <c r="K32" s="9" t="s">
        <v>160</v>
      </c>
      <c r="L32" s="9">
        <v>1.9E-2</v>
      </c>
      <c r="M32" s="9" t="s">
        <v>193</v>
      </c>
    </row>
    <row r="33" spans="1:13" x14ac:dyDescent="0.35">
      <c r="A33">
        <v>32</v>
      </c>
      <c r="B33">
        <v>1.5</v>
      </c>
      <c r="C33" t="s">
        <v>126</v>
      </c>
      <c r="D33">
        <v>2</v>
      </c>
      <c r="E33">
        <v>150</v>
      </c>
      <c r="F33">
        <v>150</v>
      </c>
      <c r="G33">
        <v>0</v>
      </c>
      <c r="H33" t="s">
        <v>67</v>
      </c>
      <c r="I33">
        <v>3</v>
      </c>
      <c r="J33" s="9">
        <v>1</v>
      </c>
      <c r="K33" s="9" t="s">
        <v>160</v>
      </c>
      <c r="L33" s="9">
        <v>2.1000000000000001E-2</v>
      </c>
      <c r="M33" s="9" t="s">
        <v>194</v>
      </c>
    </row>
    <row r="34" spans="1:13" x14ac:dyDescent="0.35">
      <c r="A34">
        <v>33</v>
      </c>
      <c r="B34">
        <v>1.5</v>
      </c>
      <c r="C34" t="s">
        <v>126</v>
      </c>
      <c r="D34">
        <v>3</v>
      </c>
      <c r="E34">
        <v>150</v>
      </c>
      <c r="F34">
        <v>150</v>
      </c>
      <c r="G34">
        <v>0</v>
      </c>
      <c r="H34" t="s">
        <v>67</v>
      </c>
      <c r="I34">
        <v>3</v>
      </c>
      <c r="J34" s="9">
        <v>0</v>
      </c>
      <c r="K34" s="9"/>
      <c r="L34" s="9"/>
      <c r="M34" s="9" t="s">
        <v>195</v>
      </c>
    </row>
    <row r="35" spans="1:13" x14ac:dyDescent="0.35">
      <c r="A35">
        <v>34</v>
      </c>
      <c r="B35">
        <v>1.5</v>
      </c>
      <c r="C35" t="s">
        <v>126</v>
      </c>
      <c r="D35">
        <v>4</v>
      </c>
      <c r="E35">
        <v>150</v>
      </c>
      <c r="F35">
        <v>150</v>
      </c>
      <c r="G35">
        <v>0</v>
      </c>
      <c r="H35" t="s">
        <v>67</v>
      </c>
      <c r="I35">
        <v>3</v>
      </c>
      <c r="J35" s="9">
        <v>1</v>
      </c>
      <c r="K35" s="9" t="s">
        <v>160</v>
      </c>
      <c r="L35" s="9">
        <v>3.1E-2</v>
      </c>
      <c r="M35" s="9" t="s">
        <v>196</v>
      </c>
    </row>
    <row r="36" spans="1:13" x14ac:dyDescent="0.35">
      <c r="A36">
        <v>35</v>
      </c>
      <c r="B36">
        <v>1.5</v>
      </c>
      <c r="C36" t="s">
        <v>126</v>
      </c>
      <c r="D36">
        <v>5</v>
      </c>
      <c r="E36">
        <v>150</v>
      </c>
      <c r="F36">
        <v>150</v>
      </c>
      <c r="G36">
        <v>0</v>
      </c>
      <c r="H36" t="s">
        <v>67</v>
      </c>
      <c r="I36">
        <v>3</v>
      </c>
      <c r="J36" s="9">
        <v>1</v>
      </c>
      <c r="K36" s="9" t="s">
        <v>160</v>
      </c>
      <c r="L36" s="9">
        <v>0.51800000000000002</v>
      </c>
      <c r="M36" s="9" t="s">
        <v>197</v>
      </c>
    </row>
    <row r="37" spans="1:13" x14ac:dyDescent="0.35">
      <c r="A37">
        <v>36</v>
      </c>
      <c r="B37">
        <v>1.5</v>
      </c>
      <c r="C37" t="s">
        <v>127</v>
      </c>
      <c r="D37">
        <v>1</v>
      </c>
      <c r="E37">
        <v>150</v>
      </c>
      <c r="F37">
        <v>150</v>
      </c>
      <c r="G37">
        <v>0</v>
      </c>
      <c r="H37" t="s">
        <v>67</v>
      </c>
      <c r="I37">
        <v>3</v>
      </c>
      <c r="J37" s="9">
        <v>0</v>
      </c>
      <c r="K37" s="9"/>
      <c r="L37" s="9"/>
      <c r="M37" s="9" t="s">
        <v>198</v>
      </c>
    </row>
    <row r="38" spans="1:13" x14ac:dyDescent="0.35">
      <c r="A38">
        <v>37</v>
      </c>
      <c r="B38">
        <v>1.5</v>
      </c>
      <c r="C38" t="s">
        <v>127</v>
      </c>
      <c r="D38">
        <v>2</v>
      </c>
      <c r="E38">
        <v>150</v>
      </c>
      <c r="F38">
        <v>150</v>
      </c>
      <c r="G38">
        <v>0</v>
      </c>
      <c r="H38" t="s">
        <v>67</v>
      </c>
      <c r="I38">
        <v>3</v>
      </c>
      <c r="J38" s="9">
        <v>0</v>
      </c>
      <c r="K38" s="9"/>
      <c r="L38" s="9"/>
      <c r="M38" s="9" t="s">
        <v>192</v>
      </c>
    </row>
    <row r="39" spans="1:13" x14ac:dyDescent="0.35">
      <c r="A39">
        <v>38</v>
      </c>
      <c r="B39">
        <v>1.5</v>
      </c>
      <c r="C39" t="s">
        <v>127</v>
      </c>
      <c r="D39">
        <v>3</v>
      </c>
      <c r="E39">
        <v>150</v>
      </c>
      <c r="F39">
        <v>150</v>
      </c>
      <c r="G39">
        <v>0</v>
      </c>
      <c r="H39" t="s">
        <v>67</v>
      </c>
      <c r="I39">
        <v>3</v>
      </c>
      <c r="J39" s="9">
        <v>1</v>
      </c>
      <c r="K39" s="9" t="s">
        <v>166</v>
      </c>
      <c r="L39" s="9">
        <v>1.518</v>
      </c>
      <c r="M39" s="9" t="s">
        <v>199</v>
      </c>
    </row>
    <row r="40" spans="1:13" x14ac:dyDescent="0.35">
      <c r="A40">
        <v>39</v>
      </c>
      <c r="B40">
        <v>1.5</v>
      </c>
      <c r="C40" t="s">
        <v>127</v>
      </c>
      <c r="D40">
        <v>4</v>
      </c>
      <c r="E40">
        <v>150</v>
      </c>
      <c r="F40">
        <v>150</v>
      </c>
      <c r="G40">
        <v>0</v>
      </c>
      <c r="H40" t="s">
        <v>67</v>
      </c>
      <c r="I40">
        <v>3</v>
      </c>
      <c r="J40" s="9">
        <v>1</v>
      </c>
      <c r="K40" s="9" t="s">
        <v>166</v>
      </c>
      <c r="L40" s="9">
        <v>0.02</v>
      </c>
      <c r="M40" s="9" t="s">
        <v>200</v>
      </c>
    </row>
    <row r="41" spans="1:13" x14ac:dyDescent="0.35">
      <c r="A41">
        <v>40</v>
      </c>
      <c r="B41">
        <v>1.5</v>
      </c>
      <c r="C41" t="s">
        <v>127</v>
      </c>
      <c r="D41">
        <v>5</v>
      </c>
      <c r="E41">
        <v>150</v>
      </c>
      <c r="F41">
        <v>150</v>
      </c>
      <c r="G41">
        <v>0</v>
      </c>
      <c r="H41" t="s">
        <v>67</v>
      </c>
      <c r="I41">
        <v>3</v>
      </c>
      <c r="J41" s="9">
        <v>1</v>
      </c>
      <c r="K41" s="9" t="s">
        <v>166</v>
      </c>
      <c r="L41" s="9">
        <v>0.77100000000000002</v>
      </c>
      <c r="M41" s="9" t="s">
        <v>201</v>
      </c>
    </row>
    <row r="42" spans="1:13" x14ac:dyDescent="0.35">
      <c r="A42">
        <v>41</v>
      </c>
      <c r="B42">
        <v>1.5</v>
      </c>
      <c r="C42" t="s">
        <v>128</v>
      </c>
      <c r="D42">
        <v>1</v>
      </c>
      <c r="E42">
        <v>150</v>
      </c>
      <c r="F42">
        <v>150</v>
      </c>
      <c r="G42">
        <v>0</v>
      </c>
      <c r="H42" t="s">
        <v>67</v>
      </c>
      <c r="I42">
        <v>3</v>
      </c>
      <c r="J42" s="9">
        <v>0</v>
      </c>
      <c r="K42" s="9"/>
      <c r="L42" s="9"/>
      <c r="M42" s="9" t="s">
        <v>195</v>
      </c>
    </row>
    <row r="43" spans="1:13" x14ac:dyDescent="0.35">
      <c r="A43">
        <v>42</v>
      </c>
      <c r="B43">
        <v>1.5</v>
      </c>
      <c r="C43" t="s">
        <v>128</v>
      </c>
      <c r="D43">
        <v>2</v>
      </c>
      <c r="E43">
        <v>150</v>
      </c>
      <c r="F43">
        <v>150</v>
      </c>
      <c r="G43">
        <v>0</v>
      </c>
      <c r="H43" t="s">
        <v>67</v>
      </c>
      <c r="I43">
        <v>3</v>
      </c>
      <c r="J43" s="9">
        <v>0</v>
      </c>
      <c r="K43" s="9"/>
      <c r="L43" s="9"/>
      <c r="M43" s="9" t="s">
        <v>202</v>
      </c>
    </row>
    <row r="44" spans="1:13" x14ac:dyDescent="0.35">
      <c r="A44">
        <v>43</v>
      </c>
      <c r="B44">
        <v>1.5</v>
      </c>
      <c r="C44" t="s">
        <v>128</v>
      </c>
      <c r="D44">
        <v>3</v>
      </c>
      <c r="E44">
        <v>150</v>
      </c>
      <c r="F44">
        <v>150</v>
      </c>
      <c r="G44">
        <v>0</v>
      </c>
      <c r="H44" t="s">
        <v>67</v>
      </c>
      <c r="I44">
        <v>3</v>
      </c>
      <c r="J44" s="9">
        <v>1</v>
      </c>
      <c r="K44" s="9" t="s">
        <v>176</v>
      </c>
      <c r="L44" s="9">
        <v>2.0209999999999999</v>
      </c>
      <c r="M44" s="9" t="s">
        <v>203</v>
      </c>
    </row>
    <row r="45" spans="1:13" x14ac:dyDescent="0.35">
      <c r="A45">
        <v>44</v>
      </c>
      <c r="B45">
        <v>1.5</v>
      </c>
      <c r="C45" t="s">
        <v>128</v>
      </c>
      <c r="D45">
        <v>4</v>
      </c>
      <c r="E45">
        <v>150</v>
      </c>
      <c r="F45">
        <v>150</v>
      </c>
      <c r="G45">
        <v>0</v>
      </c>
      <c r="H45" t="s">
        <v>67</v>
      </c>
      <c r="I45">
        <v>3</v>
      </c>
      <c r="J45" s="9">
        <v>1</v>
      </c>
      <c r="K45" s="9" t="s">
        <v>176</v>
      </c>
      <c r="L45" s="9">
        <v>1.02</v>
      </c>
      <c r="M45" s="9" t="s">
        <v>204</v>
      </c>
    </row>
    <row r="46" spans="1:13" x14ac:dyDescent="0.35">
      <c r="A46">
        <v>45</v>
      </c>
      <c r="B46">
        <v>1.5</v>
      </c>
      <c r="C46" t="s">
        <v>128</v>
      </c>
      <c r="D46">
        <v>5</v>
      </c>
      <c r="E46">
        <v>150</v>
      </c>
      <c r="F46">
        <v>150</v>
      </c>
      <c r="G46">
        <v>0</v>
      </c>
      <c r="H46" t="s">
        <v>67</v>
      </c>
      <c r="I46">
        <v>3</v>
      </c>
      <c r="J46" s="9">
        <v>1</v>
      </c>
      <c r="K46" s="9" t="s">
        <v>176</v>
      </c>
      <c r="L46" s="9">
        <v>0.02</v>
      </c>
      <c r="M46" s="9" t="s">
        <v>205</v>
      </c>
    </row>
    <row r="47" spans="1:13" x14ac:dyDescent="0.35">
      <c r="A47">
        <v>46</v>
      </c>
      <c r="B47">
        <v>2</v>
      </c>
      <c r="C47" t="s">
        <v>126</v>
      </c>
      <c r="D47">
        <v>1</v>
      </c>
      <c r="E47">
        <v>150</v>
      </c>
      <c r="F47">
        <v>150</v>
      </c>
      <c r="G47">
        <v>0</v>
      </c>
      <c r="H47" t="s">
        <v>67</v>
      </c>
      <c r="I47">
        <v>3</v>
      </c>
      <c r="J47" s="9">
        <v>0</v>
      </c>
      <c r="K47" s="9"/>
      <c r="L47" s="9"/>
      <c r="M47" s="9" t="s">
        <v>192</v>
      </c>
    </row>
    <row r="48" spans="1:13" x14ac:dyDescent="0.35">
      <c r="A48">
        <v>47</v>
      </c>
      <c r="B48">
        <v>2</v>
      </c>
      <c r="C48" t="s">
        <v>126</v>
      </c>
      <c r="D48">
        <v>2</v>
      </c>
      <c r="E48">
        <v>150</v>
      </c>
      <c r="F48">
        <v>150</v>
      </c>
      <c r="G48">
        <v>0</v>
      </c>
      <c r="H48" t="s">
        <v>67</v>
      </c>
      <c r="I48">
        <v>3</v>
      </c>
      <c r="J48" s="9">
        <v>0</v>
      </c>
      <c r="K48" s="9"/>
      <c r="L48" s="9"/>
      <c r="M48" s="9" t="s">
        <v>192</v>
      </c>
    </row>
    <row r="49" spans="1:13" x14ac:dyDescent="0.35">
      <c r="A49">
        <v>48</v>
      </c>
      <c r="B49">
        <v>2</v>
      </c>
      <c r="C49" t="s">
        <v>126</v>
      </c>
      <c r="D49">
        <v>3</v>
      </c>
      <c r="E49">
        <v>150</v>
      </c>
      <c r="F49">
        <v>150</v>
      </c>
      <c r="G49">
        <v>0</v>
      </c>
      <c r="H49" t="s">
        <v>67</v>
      </c>
      <c r="I49">
        <v>3</v>
      </c>
      <c r="J49" s="9">
        <v>0</v>
      </c>
      <c r="K49" s="9"/>
      <c r="L49" s="9"/>
      <c r="M49" s="9" t="s">
        <v>257</v>
      </c>
    </row>
    <row r="50" spans="1:13" x14ac:dyDescent="0.35">
      <c r="A50">
        <v>49</v>
      </c>
      <c r="B50">
        <v>2</v>
      </c>
      <c r="C50" t="s">
        <v>126</v>
      </c>
      <c r="D50">
        <v>4</v>
      </c>
      <c r="E50">
        <v>150</v>
      </c>
      <c r="F50">
        <v>150</v>
      </c>
      <c r="G50">
        <v>0</v>
      </c>
      <c r="H50" t="s">
        <v>67</v>
      </c>
      <c r="I50">
        <v>3</v>
      </c>
      <c r="J50" s="9">
        <v>1</v>
      </c>
      <c r="K50" s="9" t="s">
        <v>160</v>
      </c>
      <c r="L50" s="9">
        <v>1.5329999999999999</v>
      </c>
      <c r="M50" s="9" t="s">
        <v>258</v>
      </c>
    </row>
    <row r="51" spans="1:13" x14ac:dyDescent="0.35">
      <c r="A51">
        <v>50</v>
      </c>
      <c r="B51">
        <v>2</v>
      </c>
      <c r="C51" t="s">
        <v>126</v>
      </c>
      <c r="D51">
        <v>5</v>
      </c>
      <c r="E51">
        <v>150</v>
      </c>
      <c r="F51">
        <v>150</v>
      </c>
      <c r="G51">
        <v>0</v>
      </c>
      <c r="H51" t="s">
        <v>67</v>
      </c>
      <c r="I51">
        <v>3</v>
      </c>
      <c r="J51" s="9">
        <v>0</v>
      </c>
      <c r="K51" s="9"/>
      <c r="L51" s="9"/>
      <c r="M51" s="9" t="s">
        <v>192</v>
      </c>
    </row>
    <row r="52" spans="1:13" x14ac:dyDescent="0.35">
      <c r="A52">
        <v>51</v>
      </c>
      <c r="B52">
        <v>2</v>
      </c>
      <c r="C52" t="s">
        <v>127</v>
      </c>
      <c r="D52">
        <v>1</v>
      </c>
      <c r="E52">
        <v>150</v>
      </c>
      <c r="F52">
        <v>150</v>
      </c>
      <c r="G52">
        <v>0</v>
      </c>
      <c r="H52" t="s">
        <v>67</v>
      </c>
      <c r="I52">
        <v>3</v>
      </c>
      <c r="J52" s="9">
        <v>0</v>
      </c>
      <c r="K52" s="9"/>
      <c r="L52" s="9"/>
      <c r="M52" s="9" t="s">
        <v>192</v>
      </c>
    </row>
    <row r="53" spans="1:13" x14ac:dyDescent="0.35">
      <c r="A53">
        <v>52</v>
      </c>
      <c r="B53">
        <v>2</v>
      </c>
      <c r="C53" t="s">
        <v>127</v>
      </c>
      <c r="D53">
        <v>2</v>
      </c>
      <c r="E53">
        <v>150</v>
      </c>
      <c r="F53">
        <v>150</v>
      </c>
      <c r="G53">
        <v>0</v>
      </c>
      <c r="H53" t="s">
        <v>67</v>
      </c>
      <c r="I53">
        <v>3</v>
      </c>
      <c r="J53" s="9">
        <v>1</v>
      </c>
      <c r="K53" s="9" t="s">
        <v>166</v>
      </c>
      <c r="L53" s="9">
        <v>1.9E-2</v>
      </c>
      <c r="M53" s="9" t="s">
        <v>259</v>
      </c>
    </row>
    <row r="54" spans="1:13" x14ac:dyDescent="0.35">
      <c r="A54">
        <v>53</v>
      </c>
      <c r="B54">
        <v>2</v>
      </c>
      <c r="C54" t="s">
        <v>127</v>
      </c>
      <c r="D54">
        <v>3</v>
      </c>
      <c r="E54">
        <v>150</v>
      </c>
      <c r="F54">
        <v>150</v>
      </c>
      <c r="G54">
        <v>0</v>
      </c>
      <c r="H54" t="s">
        <v>67</v>
      </c>
      <c r="I54">
        <v>3</v>
      </c>
      <c r="J54" s="9">
        <v>1</v>
      </c>
      <c r="K54" s="9" t="s">
        <v>166</v>
      </c>
      <c r="L54" s="9">
        <v>1.7999999999999999E-2</v>
      </c>
      <c r="M54" s="9" t="s">
        <v>260</v>
      </c>
    </row>
    <row r="55" spans="1:13" x14ac:dyDescent="0.35">
      <c r="A55">
        <v>54</v>
      </c>
      <c r="B55">
        <v>2</v>
      </c>
      <c r="C55" t="s">
        <v>127</v>
      </c>
      <c r="D55">
        <v>4</v>
      </c>
      <c r="E55">
        <v>150</v>
      </c>
      <c r="F55">
        <v>150</v>
      </c>
      <c r="G55">
        <v>0</v>
      </c>
      <c r="H55" t="s">
        <v>67</v>
      </c>
      <c r="I55">
        <v>3</v>
      </c>
      <c r="J55" s="9">
        <v>1</v>
      </c>
      <c r="K55" s="9" t="s">
        <v>166</v>
      </c>
      <c r="L55" s="9">
        <v>2.5190000000000001</v>
      </c>
      <c r="M55" s="9" t="s">
        <v>261</v>
      </c>
    </row>
    <row r="56" spans="1:13" x14ac:dyDescent="0.35">
      <c r="A56">
        <v>55</v>
      </c>
      <c r="B56">
        <v>2</v>
      </c>
      <c r="C56" t="s">
        <v>127</v>
      </c>
      <c r="D56">
        <v>5</v>
      </c>
      <c r="E56">
        <v>150</v>
      </c>
      <c r="F56">
        <v>150</v>
      </c>
      <c r="G56">
        <v>0</v>
      </c>
      <c r="H56" t="s">
        <v>67</v>
      </c>
      <c r="I56">
        <v>3</v>
      </c>
      <c r="J56" s="9">
        <v>1</v>
      </c>
      <c r="K56" s="9" t="s">
        <v>166</v>
      </c>
      <c r="L56" s="9">
        <v>0.51900000000000002</v>
      </c>
      <c r="M56" s="9" t="s">
        <v>262</v>
      </c>
    </row>
    <row r="57" spans="1:13" x14ac:dyDescent="0.35">
      <c r="A57">
        <v>56</v>
      </c>
      <c r="B57">
        <v>2</v>
      </c>
      <c r="C57" t="s">
        <v>128</v>
      </c>
      <c r="D57">
        <v>1</v>
      </c>
      <c r="E57">
        <v>150</v>
      </c>
      <c r="F57">
        <v>150</v>
      </c>
      <c r="G57">
        <v>0</v>
      </c>
      <c r="H57" t="s">
        <v>67</v>
      </c>
      <c r="I57">
        <v>3</v>
      </c>
      <c r="J57" s="9">
        <v>0</v>
      </c>
      <c r="K57" s="9"/>
      <c r="L57" s="9"/>
      <c r="M57" s="9" t="s">
        <v>192</v>
      </c>
    </row>
    <row r="58" spans="1:13" x14ac:dyDescent="0.35">
      <c r="A58">
        <v>57</v>
      </c>
      <c r="B58">
        <v>2</v>
      </c>
      <c r="C58" t="s">
        <v>128</v>
      </c>
      <c r="D58">
        <v>2</v>
      </c>
      <c r="E58">
        <v>150</v>
      </c>
      <c r="F58">
        <v>150</v>
      </c>
      <c r="G58">
        <v>0</v>
      </c>
      <c r="H58" t="s">
        <v>67</v>
      </c>
      <c r="I58">
        <v>3</v>
      </c>
      <c r="J58" s="9">
        <v>1</v>
      </c>
      <c r="K58" s="9" t="s">
        <v>176</v>
      </c>
      <c r="L58" s="9">
        <v>0.52</v>
      </c>
      <c r="M58" s="9" t="s">
        <v>263</v>
      </c>
    </row>
    <row r="59" spans="1:13" x14ac:dyDescent="0.35">
      <c r="A59">
        <v>58</v>
      </c>
      <c r="B59">
        <v>2</v>
      </c>
      <c r="C59" t="s">
        <v>128</v>
      </c>
      <c r="D59">
        <v>3</v>
      </c>
      <c r="E59">
        <v>150</v>
      </c>
      <c r="F59">
        <v>150</v>
      </c>
      <c r="G59">
        <v>0</v>
      </c>
      <c r="H59" t="s">
        <v>67</v>
      </c>
      <c r="I59">
        <v>3</v>
      </c>
      <c r="J59" s="9">
        <v>1</v>
      </c>
      <c r="K59" s="9" t="s">
        <v>176</v>
      </c>
      <c r="L59" s="9">
        <v>0.52</v>
      </c>
      <c r="M59" s="9" t="s">
        <v>264</v>
      </c>
    </row>
    <row r="60" spans="1:13" x14ac:dyDescent="0.35">
      <c r="A60">
        <v>59</v>
      </c>
      <c r="B60">
        <v>2</v>
      </c>
      <c r="C60" t="s">
        <v>128</v>
      </c>
      <c r="D60">
        <v>4</v>
      </c>
      <c r="E60">
        <v>150</v>
      </c>
      <c r="F60">
        <v>150</v>
      </c>
      <c r="G60">
        <v>0</v>
      </c>
      <c r="H60" t="s">
        <v>67</v>
      </c>
      <c r="I60">
        <v>3</v>
      </c>
      <c r="J60" s="9">
        <v>0</v>
      </c>
      <c r="K60" s="9"/>
      <c r="L60" s="9"/>
      <c r="M60" s="9" t="s">
        <v>198</v>
      </c>
    </row>
    <row r="61" spans="1:13" x14ac:dyDescent="0.35">
      <c r="A61">
        <v>60</v>
      </c>
      <c r="B61">
        <v>2</v>
      </c>
      <c r="C61" t="s">
        <v>128</v>
      </c>
      <c r="D61">
        <v>5</v>
      </c>
      <c r="E61">
        <v>150</v>
      </c>
      <c r="F61">
        <v>150</v>
      </c>
      <c r="G61">
        <v>0</v>
      </c>
      <c r="H61" t="s">
        <v>67</v>
      </c>
      <c r="I61">
        <v>3</v>
      </c>
      <c r="J61" s="9">
        <v>1</v>
      </c>
      <c r="K61" s="9" t="s">
        <v>176</v>
      </c>
      <c r="L61" s="9">
        <v>0.53800000000000003</v>
      </c>
      <c r="M61" s="9" t="s">
        <v>265</v>
      </c>
    </row>
  </sheetData>
  <autoFilter ref="A1:M61" xr:uid="{00000000-0009-0000-0000-000005000000}"/>
  <conditionalFormatting sqref="J2:J61">
    <cfRule type="cellIs" dxfId="5" priority="1" operator="equal">
      <formula>0</formula>
    </cfRule>
    <cfRule type="cellIs" dxfId="4" priority="2" operator="equal">
      <formula>1</formula>
    </cfRule>
  </conditionalFormatting>
  <dataValidations count="1">
    <dataValidation type="list" allowBlank="1" errorTitle="Valor inválido" error="Digite somente 0 ou 1." promptTitle="Resultado da tentativa" prompt="1 = detectou; 0 = não detectou." sqref="J2:J61" xr:uid="{00000000-0002-0000-0500-000000000000}">
      <formula1>"0,1"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4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9" customWidth="1"/>
    <col min="2" max="2" width="18" customWidth="1"/>
    <col min="3" max="3" width="11" customWidth="1"/>
    <col min="4" max="4" width="10" customWidth="1"/>
    <col min="5" max="5" width="15" customWidth="1"/>
    <col min="6" max="6" width="18" customWidth="1"/>
    <col min="7" max="7" width="16" customWidth="1"/>
    <col min="8" max="8" width="21" customWidth="1"/>
    <col min="9" max="9" width="18" customWidth="1"/>
    <col min="10" max="10" width="16" customWidth="1"/>
    <col min="11" max="11" width="38" customWidth="1"/>
    <col min="12" max="12" width="24" customWidth="1"/>
    <col min="13" max="13" width="55" customWidth="1"/>
  </cols>
  <sheetData>
    <row r="1" spans="1:13" ht="34" customHeight="1" x14ac:dyDescent="0.35">
      <c r="A1" s="1" t="s">
        <v>131</v>
      </c>
      <c r="B1" s="1" t="s">
        <v>136</v>
      </c>
      <c r="C1" s="1" t="s">
        <v>120</v>
      </c>
      <c r="D1" s="1" t="s">
        <v>133</v>
      </c>
      <c r="E1" s="1" t="s">
        <v>143</v>
      </c>
      <c r="F1" s="1" t="s">
        <v>134</v>
      </c>
      <c r="G1" s="1" t="s">
        <v>135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</row>
    <row r="2" spans="1:13" x14ac:dyDescent="0.35">
      <c r="A2">
        <v>1</v>
      </c>
      <c r="B2">
        <v>0</v>
      </c>
      <c r="C2" t="s">
        <v>126</v>
      </c>
      <c r="D2">
        <v>1</v>
      </c>
      <c r="E2">
        <v>1.5</v>
      </c>
      <c r="F2">
        <v>150</v>
      </c>
      <c r="G2">
        <v>150</v>
      </c>
      <c r="H2" t="s">
        <v>67</v>
      </c>
      <c r="I2">
        <v>3</v>
      </c>
      <c r="J2" s="9">
        <v>1</v>
      </c>
      <c r="K2" s="9" t="s">
        <v>160</v>
      </c>
      <c r="L2" s="9">
        <v>1.9E-2</v>
      </c>
      <c r="M2" s="9" t="s">
        <v>191</v>
      </c>
    </row>
    <row r="3" spans="1:13" x14ac:dyDescent="0.35">
      <c r="A3">
        <v>2</v>
      </c>
      <c r="B3">
        <v>0</v>
      </c>
      <c r="C3" t="s">
        <v>126</v>
      </c>
      <c r="D3">
        <v>2</v>
      </c>
      <c r="E3">
        <v>1.5</v>
      </c>
      <c r="F3">
        <v>150</v>
      </c>
      <c r="G3">
        <v>150</v>
      </c>
      <c r="H3" t="s">
        <v>67</v>
      </c>
      <c r="I3">
        <v>3</v>
      </c>
      <c r="J3" s="9">
        <v>1</v>
      </c>
      <c r="K3" s="9" t="s">
        <v>160</v>
      </c>
      <c r="L3" s="9">
        <v>0.51900000000000002</v>
      </c>
      <c r="M3" s="9" t="s">
        <v>194</v>
      </c>
    </row>
    <row r="4" spans="1:13" x14ac:dyDescent="0.35">
      <c r="A4">
        <v>3</v>
      </c>
      <c r="B4">
        <v>0</v>
      </c>
      <c r="C4" t="s">
        <v>126</v>
      </c>
      <c r="D4">
        <v>3</v>
      </c>
      <c r="E4">
        <v>1.5</v>
      </c>
      <c r="F4">
        <v>150</v>
      </c>
      <c r="G4">
        <v>150</v>
      </c>
      <c r="H4" t="s">
        <v>67</v>
      </c>
      <c r="I4">
        <v>3</v>
      </c>
      <c r="J4" s="9">
        <v>0</v>
      </c>
      <c r="K4" s="9"/>
      <c r="L4" s="9"/>
      <c r="M4" s="9" t="s">
        <v>192</v>
      </c>
    </row>
    <row r="5" spans="1:13" x14ac:dyDescent="0.35">
      <c r="A5">
        <v>4</v>
      </c>
      <c r="B5">
        <v>0</v>
      </c>
      <c r="C5" t="s">
        <v>126</v>
      </c>
      <c r="D5">
        <v>4</v>
      </c>
      <c r="E5">
        <v>1.5</v>
      </c>
      <c r="F5">
        <v>150</v>
      </c>
      <c r="G5">
        <v>150</v>
      </c>
      <c r="H5" t="s">
        <v>67</v>
      </c>
      <c r="I5">
        <v>3</v>
      </c>
      <c r="J5" s="9">
        <v>0</v>
      </c>
      <c r="K5" s="9"/>
      <c r="L5" s="9"/>
      <c r="M5" s="9" t="s">
        <v>202</v>
      </c>
    </row>
    <row r="6" spans="1:13" x14ac:dyDescent="0.35">
      <c r="A6">
        <v>5</v>
      </c>
      <c r="B6">
        <v>0</v>
      </c>
      <c r="C6" t="s">
        <v>126</v>
      </c>
      <c r="D6">
        <v>5</v>
      </c>
      <c r="E6">
        <v>1.5</v>
      </c>
      <c r="F6">
        <v>150</v>
      </c>
      <c r="G6">
        <v>150</v>
      </c>
      <c r="H6" t="s">
        <v>67</v>
      </c>
      <c r="I6">
        <v>3</v>
      </c>
      <c r="J6" s="9">
        <v>1</v>
      </c>
      <c r="K6" s="9" t="s">
        <v>160</v>
      </c>
      <c r="L6" s="9">
        <v>2.0379999999999998</v>
      </c>
      <c r="M6" s="9" t="s">
        <v>181</v>
      </c>
    </row>
    <row r="7" spans="1:13" x14ac:dyDescent="0.35">
      <c r="A7">
        <v>6</v>
      </c>
      <c r="B7">
        <v>0</v>
      </c>
      <c r="C7" t="s">
        <v>127</v>
      </c>
      <c r="D7">
        <v>1</v>
      </c>
      <c r="E7">
        <v>1.5</v>
      </c>
      <c r="F7">
        <v>150</v>
      </c>
      <c r="G7">
        <v>150</v>
      </c>
      <c r="H7" t="s">
        <v>67</v>
      </c>
      <c r="I7">
        <v>3</v>
      </c>
      <c r="J7" s="9">
        <v>1</v>
      </c>
      <c r="K7" s="9" t="s">
        <v>166</v>
      </c>
      <c r="L7" s="9">
        <v>0.52</v>
      </c>
      <c r="M7" s="9" t="s">
        <v>266</v>
      </c>
    </row>
    <row r="8" spans="1:13" x14ac:dyDescent="0.35">
      <c r="A8">
        <v>7</v>
      </c>
      <c r="B8">
        <v>0</v>
      </c>
      <c r="C8" t="s">
        <v>127</v>
      </c>
      <c r="D8">
        <v>2</v>
      </c>
      <c r="E8">
        <v>1.5</v>
      </c>
      <c r="F8">
        <v>150</v>
      </c>
      <c r="G8">
        <v>150</v>
      </c>
      <c r="H8" t="s">
        <v>67</v>
      </c>
      <c r="I8">
        <v>3</v>
      </c>
      <c r="J8" s="9">
        <v>1</v>
      </c>
      <c r="K8" s="9" t="s">
        <v>166</v>
      </c>
      <c r="L8" s="9">
        <v>1.9E-2</v>
      </c>
      <c r="M8" s="9" t="s">
        <v>267</v>
      </c>
    </row>
    <row r="9" spans="1:13" x14ac:dyDescent="0.35">
      <c r="A9">
        <v>8</v>
      </c>
      <c r="B9">
        <v>0</v>
      </c>
      <c r="C9" t="s">
        <v>127</v>
      </c>
      <c r="D9">
        <v>3</v>
      </c>
      <c r="E9">
        <v>1.5</v>
      </c>
      <c r="F9">
        <v>150</v>
      </c>
      <c r="G9">
        <v>150</v>
      </c>
      <c r="H9" t="s">
        <v>67</v>
      </c>
      <c r="I9">
        <v>3</v>
      </c>
      <c r="J9" s="9">
        <v>1</v>
      </c>
      <c r="K9" s="9" t="s">
        <v>166</v>
      </c>
      <c r="L9" s="9">
        <v>0.02</v>
      </c>
      <c r="M9" s="9" t="s">
        <v>268</v>
      </c>
    </row>
    <row r="10" spans="1:13" x14ac:dyDescent="0.35">
      <c r="A10">
        <v>9</v>
      </c>
      <c r="B10">
        <v>0</v>
      </c>
      <c r="C10" t="s">
        <v>127</v>
      </c>
      <c r="D10">
        <v>4</v>
      </c>
      <c r="E10">
        <v>1.5</v>
      </c>
      <c r="F10">
        <v>150</v>
      </c>
      <c r="G10">
        <v>150</v>
      </c>
      <c r="H10" t="s">
        <v>67</v>
      </c>
      <c r="I10">
        <v>3</v>
      </c>
      <c r="J10" s="9">
        <v>1</v>
      </c>
      <c r="K10" s="9" t="s">
        <v>166</v>
      </c>
      <c r="L10" s="9">
        <v>2.7E-2</v>
      </c>
      <c r="M10" s="9" t="s">
        <v>269</v>
      </c>
    </row>
    <row r="11" spans="1:13" x14ac:dyDescent="0.35">
      <c r="A11">
        <v>10</v>
      </c>
      <c r="B11">
        <v>0</v>
      </c>
      <c r="C11" t="s">
        <v>127</v>
      </c>
      <c r="D11">
        <v>5</v>
      </c>
      <c r="E11">
        <v>1.5</v>
      </c>
      <c r="F11">
        <v>150</v>
      </c>
      <c r="G11">
        <v>150</v>
      </c>
      <c r="H11" t="s">
        <v>67</v>
      </c>
      <c r="I11">
        <v>3</v>
      </c>
      <c r="J11" s="9">
        <v>1</v>
      </c>
      <c r="K11" s="9" t="s">
        <v>166</v>
      </c>
      <c r="L11" s="9">
        <v>1.7999999999999999E-2</v>
      </c>
      <c r="M11" s="9" t="s">
        <v>270</v>
      </c>
    </row>
    <row r="12" spans="1:13" x14ac:dyDescent="0.35">
      <c r="A12">
        <v>11</v>
      </c>
      <c r="B12">
        <v>0</v>
      </c>
      <c r="C12" t="s">
        <v>128</v>
      </c>
      <c r="D12">
        <v>1</v>
      </c>
      <c r="E12">
        <v>1.5</v>
      </c>
      <c r="F12">
        <v>150</v>
      </c>
      <c r="G12">
        <v>150</v>
      </c>
      <c r="H12" t="s">
        <v>67</v>
      </c>
      <c r="I12">
        <v>3</v>
      </c>
      <c r="J12" s="9">
        <v>0</v>
      </c>
      <c r="K12" s="9"/>
      <c r="L12" s="9"/>
      <c r="M12" s="9" t="s">
        <v>192</v>
      </c>
    </row>
    <row r="13" spans="1:13" x14ac:dyDescent="0.35">
      <c r="A13">
        <v>12</v>
      </c>
      <c r="B13">
        <v>0</v>
      </c>
      <c r="C13" t="s">
        <v>128</v>
      </c>
      <c r="D13">
        <v>2</v>
      </c>
      <c r="E13">
        <v>1.5</v>
      </c>
      <c r="F13">
        <v>150</v>
      </c>
      <c r="G13">
        <v>150</v>
      </c>
      <c r="H13" t="s">
        <v>67</v>
      </c>
      <c r="I13">
        <v>3</v>
      </c>
      <c r="J13" s="9">
        <v>0</v>
      </c>
      <c r="K13" s="9"/>
      <c r="L13" s="9"/>
      <c r="M13" s="9" t="s">
        <v>192</v>
      </c>
    </row>
    <row r="14" spans="1:13" x14ac:dyDescent="0.35">
      <c r="A14">
        <v>13</v>
      </c>
      <c r="B14">
        <v>0</v>
      </c>
      <c r="C14" t="s">
        <v>128</v>
      </c>
      <c r="D14">
        <v>3</v>
      </c>
      <c r="E14">
        <v>1.5</v>
      </c>
      <c r="F14">
        <v>150</v>
      </c>
      <c r="G14">
        <v>150</v>
      </c>
      <c r="H14" t="s">
        <v>67</v>
      </c>
      <c r="I14">
        <v>3</v>
      </c>
      <c r="J14" s="9">
        <v>0</v>
      </c>
      <c r="K14" s="9"/>
      <c r="L14" s="9"/>
      <c r="M14" s="9" t="s">
        <v>192</v>
      </c>
    </row>
    <row r="15" spans="1:13" x14ac:dyDescent="0.35">
      <c r="A15">
        <v>14</v>
      </c>
      <c r="B15">
        <v>0</v>
      </c>
      <c r="C15" t="s">
        <v>128</v>
      </c>
      <c r="D15">
        <v>4</v>
      </c>
      <c r="E15">
        <v>1.5</v>
      </c>
      <c r="F15">
        <v>150</v>
      </c>
      <c r="G15">
        <v>150</v>
      </c>
      <c r="H15" t="s">
        <v>67</v>
      </c>
      <c r="I15">
        <v>3</v>
      </c>
      <c r="J15" s="9">
        <v>1</v>
      </c>
      <c r="K15" s="9" t="s">
        <v>176</v>
      </c>
      <c r="L15" s="9">
        <v>1.5209999999999999</v>
      </c>
      <c r="M15" s="9" t="s">
        <v>271</v>
      </c>
    </row>
    <row r="16" spans="1:13" x14ac:dyDescent="0.35">
      <c r="A16">
        <v>15</v>
      </c>
      <c r="B16">
        <v>0</v>
      </c>
      <c r="C16" t="s">
        <v>128</v>
      </c>
      <c r="D16">
        <v>5</v>
      </c>
      <c r="E16">
        <v>1.5</v>
      </c>
      <c r="F16">
        <v>150</v>
      </c>
      <c r="G16">
        <v>150</v>
      </c>
      <c r="H16" t="s">
        <v>67</v>
      </c>
      <c r="I16">
        <v>3</v>
      </c>
      <c r="J16" s="9">
        <v>1</v>
      </c>
      <c r="K16" s="9" t="s">
        <v>176</v>
      </c>
      <c r="L16" s="9">
        <v>2.5209999999999999</v>
      </c>
      <c r="M16" s="9" t="s">
        <v>272</v>
      </c>
    </row>
    <row r="17" spans="1:13" x14ac:dyDescent="0.35">
      <c r="A17">
        <v>16</v>
      </c>
      <c r="B17">
        <v>45</v>
      </c>
      <c r="C17" t="s">
        <v>126</v>
      </c>
      <c r="D17">
        <v>1</v>
      </c>
      <c r="E17">
        <v>1.5</v>
      </c>
      <c r="F17">
        <v>150</v>
      </c>
      <c r="G17">
        <v>150</v>
      </c>
      <c r="H17" t="s">
        <v>67</v>
      </c>
      <c r="I17">
        <v>3</v>
      </c>
      <c r="J17" s="9">
        <v>1</v>
      </c>
      <c r="K17" s="9" t="s">
        <v>160</v>
      </c>
      <c r="L17" s="9">
        <v>0.02</v>
      </c>
      <c r="M17" s="9" t="s">
        <v>273</v>
      </c>
    </row>
    <row r="18" spans="1:13" x14ac:dyDescent="0.35">
      <c r="A18">
        <v>17</v>
      </c>
      <c r="B18">
        <v>45</v>
      </c>
      <c r="C18" t="s">
        <v>126</v>
      </c>
      <c r="D18">
        <v>2</v>
      </c>
      <c r="E18">
        <v>1.5</v>
      </c>
      <c r="F18">
        <v>150</v>
      </c>
      <c r="G18">
        <v>150</v>
      </c>
      <c r="H18" t="s">
        <v>67</v>
      </c>
      <c r="I18">
        <v>3</v>
      </c>
      <c r="J18" s="9">
        <v>1</v>
      </c>
      <c r="K18" s="9" t="s">
        <v>160</v>
      </c>
      <c r="L18" s="9">
        <v>0.51900000000000002</v>
      </c>
      <c r="M18" s="9" t="s">
        <v>184</v>
      </c>
    </row>
    <row r="19" spans="1:13" x14ac:dyDescent="0.35">
      <c r="A19">
        <v>18</v>
      </c>
      <c r="B19">
        <v>45</v>
      </c>
      <c r="C19" t="s">
        <v>126</v>
      </c>
      <c r="D19">
        <v>3</v>
      </c>
      <c r="E19">
        <v>1.5</v>
      </c>
      <c r="F19">
        <v>150</v>
      </c>
      <c r="G19">
        <v>150</v>
      </c>
      <c r="H19" t="s">
        <v>67</v>
      </c>
      <c r="I19">
        <v>3</v>
      </c>
      <c r="J19" s="9">
        <v>1</v>
      </c>
      <c r="K19" s="9" t="s">
        <v>160</v>
      </c>
      <c r="L19" s="9">
        <v>0.52</v>
      </c>
      <c r="M19" s="9" t="s">
        <v>274</v>
      </c>
    </row>
    <row r="20" spans="1:13" x14ac:dyDescent="0.35">
      <c r="A20">
        <v>19</v>
      </c>
      <c r="B20">
        <v>45</v>
      </c>
      <c r="C20" t="s">
        <v>126</v>
      </c>
      <c r="D20">
        <v>4</v>
      </c>
      <c r="E20">
        <v>1.5</v>
      </c>
      <c r="F20">
        <v>150</v>
      </c>
      <c r="G20">
        <v>150</v>
      </c>
      <c r="H20" t="s">
        <v>67</v>
      </c>
      <c r="I20">
        <v>3</v>
      </c>
      <c r="J20" s="9">
        <v>1</v>
      </c>
      <c r="K20" s="9" t="s">
        <v>160</v>
      </c>
      <c r="L20" s="9">
        <v>1.9E-2</v>
      </c>
      <c r="M20" s="9" t="s">
        <v>275</v>
      </c>
    </row>
    <row r="21" spans="1:13" x14ac:dyDescent="0.35">
      <c r="A21">
        <v>20</v>
      </c>
      <c r="B21">
        <v>45</v>
      </c>
      <c r="C21" t="s">
        <v>126</v>
      </c>
      <c r="D21">
        <v>5</v>
      </c>
      <c r="E21">
        <v>1.5</v>
      </c>
      <c r="F21">
        <v>150</v>
      </c>
      <c r="G21">
        <v>150</v>
      </c>
      <c r="H21" t="s">
        <v>67</v>
      </c>
      <c r="I21">
        <v>3</v>
      </c>
      <c r="J21" s="9">
        <v>1</v>
      </c>
      <c r="K21" s="9" t="s">
        <v>160</v>
      </c>
      <c r="L21" s="9">
        <v>0.52</v>
      </c>
      <c r="M21" s="9" t="s">
        <v>276</v>
      </c>
    </row>
    <row r="22" spans="1:13" x14ac:dyDescent="0.35">
      <c r="A22">
        <v>21</v>
      </c>
      <c r="B22">
        <v>45</v>
      </c>
      <c r="C22" t="s">
        <v>127</v>
      </c>
      <c r="D22">
        <v>1</v>
      </c>
      <c r="E22">
        <v>1.5</v>
      </c>
      <c r="F22">
        <v>150</v>
      </c>
      <c r="G22">
        <v>150</v>
      </c>
      <c r="H22" t="s">
        <v>67</v>
      </c>
      <c r="I22">
        <v>3</v>
      </c>
      <c r="J22" s="9">
        <v>1</v>
      </c>
      <c r="K22" s="9" t="s">
        <v>166</v>
      </c>
      <c r="L22" s="9">
        <v>0.02</v>
      </c>
      <c r="M22" s="9" t="s">
        <v>277</v>
      </c>
    </row>
    <row r="23" spans="1:13" x14ac:dyDescent="0.35">
      <c r="A23">
        <v>22</v>
      </c>
      <c r="B23">
        <v>45</v>
      </c>
      <c r="C23" t="s">
        <v>127</v>
      </c>
      <c r="D23">
        <v>2</v>
      </c>
      <c r="E23">
        <v>1.5</v>
      </c>
      <c r="F23">
        <v>150</v>
      </c>
      <c r="G23">
        <v>150</v>
      </c>
      <c r="H23" t="s">
        <v>67</v>
      </c>
      <c r="I23">
        <v>3</v>
      </c>
      <c r="J23" s="9">
        <v>1</v>
      </c>
      <c r="K23" s="9" t="s">
        <v>166</v>
      </c>
      <c r="L23" s="9">
        <v>0.51900000000000002</v>
      </c>
      <c r="M23" s="9" t="s">
        <v>278</v>
      </c>
    </row>
    <row r="24" spans="1:13" x14ac:dyDescent="0.35">
      <c r="A24">
        <v>23</v>
      </c>
      <c r="B24">
        <v>45</v>
      </c>
      <c r="C24" t="s">
        <v>127</v>
      </c>
      <c r="D24">
        <v>3</v>
      </c>
      <c r="E24">
        <v>1.5</v>
      </c>
      <c r="F24">
        <v>150</v>
      </c>
      <c r="G24">
        <v>150</v>
      </c>
      <c r="H24" t="s">
        <v>67</v>
      </c>
      <c r="I24">
        <v>3</v>
      </c>
      <c r="J24" s="9">
        <v>1</v>
      </c>
      <c r="K24" s="9" t="s">
        <v>166</v>
      </c>
      <c r="L24" s="9">
        <v>1.7000000000000001E-2</v>
      </c>
      <c r="M24" s="9" t="s">
        <v>279</v>
      </c>
    </row>
    <row r="25" spans="1:13" x14ac:dyDescent="0.35">
      <c r="A25">
        <v>24</v>
      </c>
      <c r="B25">
        <v>45</v>
      </c>
      <c r="C25" t="s">
        <v>127</v>
      </c>
      <c r="D25">
        <v>4</v>
      </c>
      <c r="E25">
        <v>1.5</v>
      </c>
      <c r="F25">
        <v>150</v>
      </c>
      <c r="G25">
        <v>150</v>
      </c>
      <c r="H25" t="s">
        <v>67</v>
      </c>
      <c r="I25">
        <v>3</v>
      </c>
      <c r="J25" s="9">
        <v>0</v>
      </c>
      <c r="K25" s="9"/>
      <c r="L25" s="9"/>
      <c r="M25" s="9" t="s">
        <v>198</v>
      </c>
    </row>
    <row r="26" spans="1:13" x14ac:dyDescent="0.35">
      <c r="A26">
        <v>25</v>
      </c>
      <c r="B26">
        <v>45</v>
      </c>
      <c r="C26" t="s">
        <v>127</v>
      </c>
      <c r="D26">
        <v>5</v>
      </c>
      <c r="E26">
        <v>1.5</v>
      </c>
      <c r="F26">
        <v>150</v>
      </c>
      <c r="G26">
        <v>150</v>
      </c>
      <c r="H26" t="s">
        <v>67</v>
      </c>
      <c r="I26">
        <v>3</v>
      </c>
      <c r="J26" s="9">
        <v>1</v>
      </c>
      <c r="K26" s="9" t="s">
        <v>166</v>
      </c>
      <c r="L26" s="9">
        <v>1.018</v>
      </c>
      <c r="M26" s="9" t="s">
        <v>280</v>
      </c>
    </row>
    <row r="27" spans="1:13" x14ac:dyDescent="0.35">
      <c r="A27">
        <v>26</v>
      </c>
      <c r="B27">
        <v>45</v>
      </c>
      <c r="C27" t="s">
        <v>128</v>
      </c>
      <c r="D27">
        <v>1</v>
      </c>
      <c r="E27">
        <v>1.5</v>
      </c>
      <c r="F27">
        <v>150</v>
      </c>
      <c r="G27">
        <v>150</v>
      </c>
      <c r="H27" t="s">
        <v>67</v>
      </c>
      <c r="I27">
        <v>3</v>
      </c>
      <c r="J27" s="9">
        <v>1</v>
      </c>
      <c r="K27" s="9" t="s">
        <v>176</v>
      </c>
      <c r="L27" s="9">
        <v>2.5179999999999998</v>
      </c>
      <c r="M27" s="9" t="s">
        <v>289</v>
      </c>
    </row>
    <row r="28" spans="1:13" x14ac:dyDescent="0.35">
      <c r="A28">
        <v>27</v>
      </c>
      <c r="B28">
        <v>45</v>
      </c>
      <c r="C28" t="s">
        <v>128</v>
      </c>
      <c r="D28">
        <v>2</v>
      </c>
      <c r="E28">
        <v>1.5</v>
      </c>
      <c r="F28">
        <v>150</v>
      </c>
      <c r="G28">
        <v>150</v>
      </c>
      <c r="H28" t="s">
        <v>67</v>
      </c>
      <c r="I28">
        <v>3</v>
      </c>
      <c r="J28" s="9">
        <v>1</v>
      </c>
      <c r="K28" s="9" t="s">
        <v>176</v>
      </c>
      <c r="L28" s="9">
        <v>2.02</v>
      </c>
      <c r="M28" s="9" t="s">
        <v>290</v>
      </c>
    </row>
    <row r="29" spans="1:13" x14ac:dyDescent="0.35">
      <c r="A29">
        <v>28</v>
      </c>
      <c r="B29">
        <v>45</v>
      </c>
      <c r="C29" t="s">
        <v>128</v>
      </c>
      <c r="D29">
        <v>3</v>
      </c>
      <c r="E29">
        <v>1.5</v>
      </c>
      <c r="F29">
        <v>150</v>
      </c>
      <c r="G29">
        <v>150</v>
      </c>
      <c r="H29" t="s">
        <v>67</v>
      </c>
      <c r="I29">
        <v>3</v>
      </c>
      <c r="J29" s="9">
        <v>0</v>
      </c>
      <c r="K29" s="9"/>
      <c r="L29" s="9"/>
      <c r="M29" s="9" t="s">
        <v>291</v>
      </c>
    </row>
    <row r="30" spans="1:13" x14ac:dyDescent="0.35">
      <c r="A30">
        <v>29</v>
      </c>
      <c r="B30">
        <v>45</v>
      </c>
      <c r="C30" t="s">
        <v>128</v>
      </c>
      <c r="D30">
        <v>4</v>
      </c>
      <c r="E30">
        <v>1.5</v>
      </c>
      <c r="F30">
        <v>150</v>
      </c>
      <c r="G30">
        <v>150</v>
      </c>
      <c r="H30" t="s">
        <v>67</v>
      </c>
      <c r="I30">
        <v>3</v>
      </c>
      <c r="J30" s="9">
        <v>1</v>
      </c>
      <c r="K30" s="9" t="s">
        <v>176</v>
      </c>
      <c r="L30" s="9">
        <v>0.02</v>
      </c>
      <c r="M30" s="9" t="s">
        <v>292</v>
      </c>
    </row>
    <row r="31" spans="1:13" x14ac:dyDescent="0.35">
      <c r="A31">
        <v>30</v>
      </c>
      <c r="B31">
        <v>45</v>
      </c>
      <c r="C31" t="s">
        <v>128</v>
      </c>
      <c r="D31">
        <v>5</v>
      </c>
      <c r="E31">
        <v>1.5</v>
      </c>
      <c r="F31">
        <v>150</v>
      </c>
      <c r="G31">
        <v>150</v>
      </c>
      <c r="H31" t="s">
        <v>67</v>
      </c>
      <c r="I31">
        <v>3</v>
      </c>
      <c r="J31" s="9">
        <v>1</v>
      </c>
      <c r="K31" s="9" t="s">
        <v>176</v>
      </c>
      <c r="L31" s="9">
        <v>1.034</v>
      </c>
      <c r="M31" s="9" t="s">
        <v>293</v>
      </c>
    </row>
    <row r="32" spans="1:13" x14ac:dyDescent="0.35">
      <c r="A32">
        <v>31</v>
      </c>
      <c r="B32">
        <v>90</v>
      </c>
      <c r="C32" t="s">
        <v>126</v>
      </c>
      <c r="D32">
        <v>1</v>
      </c>
      <c r="E32">
        <v>1.5</v>
      </c>
      <c r="F32">
        <v>150</v>
      </c>
      <c r="G32">
        <v>150</v>
      </c>
      <c r="H32" t="s">
        <v>67</v>
      </c>
      <c r="I32">
        <v>3</v>
      </c>
      <c r="J32" s="9">
        <v>1</v>
      </c>
      <c r="K32" s="9" t="s">
        <v>160</v>
      </c>
      <c r="L32" s="9">
        <v>1.9E-2</v>
      </c>
      <c r="M32" s="9" t="s">
        <v>194</v>
      </c>
    </row>
    <row r="33" spans="1:13" x14ac:dyDescent="0.35">
      <c r="A33">
        <v>32</v>
      </c>
      <c r="B33">
        <v>90</v>
      </c>
      <c r="C33" t="s">
        <v>126</v>
      </c>
      <c r="D33">
        <v>2</v>
      </c>
      <c r="E33">
        <v>1.5</v>
      </c>
      <c r="F33">
        <v>150</v>
      </c>
      <c r="G33">
        <v>150</v>
      </c>
      <c r="H33" t="s">
        <v>67</v>
      </c>
      <c r="I33">
        <v>3</v>
      </c>
      <c r="J33" s="9">
        <v>1</v>
      </c>
      <c r="K33" s="9" t="s">
        <v>160</v>
      </c>
      <c r="L33" s="9">
        <v>0.51900000000000002</v>
      </c>
      <c r="M33" s="9" t="s">
        <v>294</v>
      </c>
    </row>
    <row r="34" spans="1:13" x14ac:dyDescent="0.35">
      <c r="A34">
        <v>33</v>
      </c>
      <c r="B34">
        <v>90</v>
      </c>
      <c r="C34" t="s">
        <v>126</v>
      </c>
      <c r="D34">
        <v>3</v>
      </c>
      <c r="E34">
        <v>1.5</v>
      </c>
      <c r="F34">
        <v>150</v>
      </c>
      <c r="G34">
        <v>150</v>
      </c>
      <c r="H34" t="s">
        <v>67</v>
      </c>
      <c r="I34">
        <v>3</v>
      </c>
      <c r="J34" s="9">
        <v>1</v>
      </c>
      <c r="K34" s="9" t="s">
        <v>160</v>
      </c>
      <c r="L34" s="9">
        <v>1.7999999999999999E-2</v>
      </c>
      <c r="M34" s="9" t="s">
        <v>295</v>
      </c>
    </row>
    <row r="35" spans="1:13" x14ac:dyDescent="0.35">
      <c r="A35">
        <v>34</v>
      </c>
      <c r="B35">
        <v>90</v>
      </c>
      <c r="C35" t="s">
        <v>126</v>
      </c>
      <c r="D35">
        <v>4</v>
      </c>
      <c r="E35">
        <v>1.5</v>
      </c>
      <c r="F35">
        <v>150</v>
      </c>
      <c r="G35">
        <v>150</v>
      </c>
      <c r="H35" t="s">
        <v>67</v>
      </c>
      <c r="I35">
        <v>3</v>
      </c>
      <c r="J35" s="9">
        <v>1</v>
      </c>
      <c r="K35" s="9" t="s">
        <v>160</v>
      </c>
      <c r="L35" s="9">
        <v>0.52900000000000003</v>
      </c>
      <c r="M35" s="9" t="s">
        <v>296</v>
      </c>
    </row>
    <row r="36" spans="1:13" x14ac:dyDescent="0.35">
      <c r="A36">
        <v>35</v>
      </c>
      <c r="B36">
        <v>90</v>
      </c>
      <c r="C36" t="s">
        <v>126</v>
      </c>
      <c r="D36">
        <v>5</v>
      </c>
      <c r="E36">
        <v>1.5</v>
      </c>
      <c r="F36">
        <v>150</v>
      </c>
      <c r="G36">
        <v>150</v>
      </c>
      <c r="H36" t="s">
        <v>67</v>
      </c>
      <c r="I36">
        <v>3</v>
      </c>
      <c r="J36" s="9">
        <v>1</v>
      </c>
      <c r="K36" s="9" t="s">
        <v>160</v>
      </c>
      <c r="L36" s="9">
        <v>0.02</v>
      </c>
      <c r="M36" s="9" t="s">
        <v>297</v>
      </c>
    </row>
    <row r="37" spans="1:13" x14ac:dyDescent="0.35">
      <c r="A37">
        <v>36</v>
      </c>
      <c r="B37">
        <v>90</v>
      </c>
      <c r="C37" t="s">
        <v>127</v>
      </c>
      <c r="D37">
        <v>1</v>
      </c>
      <c r="E37">
        <v>1.5</v>
      </c>
      <c r="F37">
        <v>150</v>
      </c>
      <c r="G37">
        <v>150</v>
      </c>
      <c r="H37" t="s">
        <v>67</v>
      </c>
      <c r="I37">
        <v>3</v>
      </c>
      <c r="J37" s="9">
        <v>0</v>
      </c>
      <c r="K37" s="9"/>
      <c r="L37" s="9"/>
      <c r="M37" s="9" t="s">
        <v>192</v>
      </c>
    </row>
    <row r="38" spans="1:13" x14ac:dyDescent="0.35">
      <c r="A38">
        <v>37</v>
      </c>
      <c r="B38">
        <v>90</v>
      </c>
      <c r="C38" t="s">
        <v>127</v>
      </c>
      <c r="D38">
        <v>2</v>
      </c>
      <c r="E38">
        <v>1.5</v>
      </c>
      <c r="F38">
        <v>150</v>
      </c>
      <c r="G38">
        <v>150</v>
      </c>
      <c r="H38" t="s">
        <v>67</v>
      </c>
      <c r="I38">
        <v>3</v>
      </c>
      <c r="J38" s="9">
        <v>1</v>
      </c>
      <c r="K38" s="9" t="s">
        <v>166</v>
      </c>
      <c r="L38" s="9">
        <v>1.9E-2</v>
      </c>
      <c r="M38" s="9" t="s">
        <v>298</v>
      </c>
    </row>
    <row r="39" spans="1:13" x14ac:dyDescent="0.35">
      <c r="A39">
        <v>38</v>
      </c>
      <c r="B39">
        <v>90</v>
      </c>
      <c r="C39" t="s">
        <v>127</v>
      </c>
      <c r="D39">
        <v>3</v>
      </c>
      <c r="E39">
        <v>1.5</v>
      </c>
      <c r="F39">
        <v>150</v>
      </c>
      <c r="G39">
        <v>150</v>
      </c>
      <c r="H39" t="s">
        <v>67</v>
      </c>
      <c r="I39">
        <v>3</v>
      </c>
      <c r="J39" s="9">
        <v>1</v>
      </c>
      <c r="K39" s="9" t="s">
        <v>166</v>
      </c>
      <c r="L39" s="9">
        <v>1.7999999999999999E-2</v>
      </c>
      <c r="M39" s="9" t="s">
        <v>299</v>
      </c>
    </row>
    <row r="40" spans="1:13" x14ac:dyDescent="0.35">
      <c r="A40">
        <v>39</v>
      </c>
      <c r="B40">
        <v>90</v>
      </c>
      <c r="C40" t="s">
        <v>127</v>
      </c>
      <c r="D40">
        <v>4</v>
      </c>
      <c r="E40">
        <v>1.5</v>
      </c>
      <c r="F40">
        <v>150</v>
      </c>
      <c r="G40">
        <v>150</v>
      </c>
      <c r="H40" t="s">
        <v>67</v>
      </c>
      <c r="I40">
        <v>3</v>
      </c>
      <c r="J40" s="9">
        <v>1</v>
      </c>
      <c r="K40" s="9" t="s">
        <v>166</v>
      </c>
      <c r="L40" s="9">
        <v>2.1999999999999999E-2</v>
      </c>
      <c r="M40" s="9" t="s">
        <v>180</v>
      </c>
    </row>
    <row r="41" spans="1:13" x14ac:dyDescent="0.35">
      <c r="A41">
        <v>40</v>
      </c>
      <c r="B41">
        <v>90</v>
      </c>
      <c r="C41" t="s">
        <v>127</v>
      </c>
      <c r="D41">
        <v>5</v>
      </c>
      <c r="E41">
        <v>1.5</v>
      </c>
      <c r="F41">
        <v>150</v>
      </c>
      <c r="G41">
        <v>150</v>
      </c>
      <c r="H41" t="s">
        <v>67</v>
      </c>
      <c r="I41">
        <v>3</v>
      </c>
      <c r="J41" s="9">
        <v>1</v>
      </c>
      <c r="K41" s="9" t="s">
        <v>166</v>
      </c>
      <c r="L41" s="9">
        <v>1.7000000000000001E-2</v>
      </c>
      <c r="M41" s="9" t="s">
        <v>300</v>
      </c>
    </row>
    <row r="42" spans="1:13" x14ac:dyDescent="0.35">
      <c r="A42">
        <v>41</v>
      </c>
      <c r="B42">
        <v>90</v>
      </c>
      <c r="C42" t="s">
        <v>128</v>
      </c>
      <c r="D42">
        <v>1</v>
      </c>
      <c r="E42">
        <v>1.5</v>
      </c>
      <c r="F42">
        <v>150</v>
      </c>
      <c r="G42">
        <v>150</v>
      </c>
      <c r="H42" t="s">
        <v>67</v>
      </c>
      <c r="I42">
        <v>3</v>
      </c>
      <c r="J42" s="9">
        <v>1</v>
      </c>
      <c r="K42" s="9" t="s">
        <v>176</v>
      </c>
      <c r="L42" s="9">
        <v>1.538</v>
      </c>
      <c r="M42" s="9" t="s">
        <v>301</v>
      </c>
    </row>
    <row r="43" spans="1:13" x14ac:dyDescent="0.35">
      <c r="A43">
        <v>42</v>
      </c>
      <c r="B43">
        <v>90</v>
      </c>
      <c r="C43" t="s">
        <v>128</v>
      </c>
      <c r="D43">
        <v>2</v>
      </c>
      <c r="E43">
        <v>1.5</v>
      </c>
      <c r="F43">
        <v>150</v>
      </c>
      <c r="G43">
        <v>150</v>
      </c>
      <c r="H43" t="s">
        <v>67</v>
      </c>
      <c r="I43">
        <v>3</v>
      </c>
      <c r="J43" s="9">
        <v>1</v>
      </c>
      <c r="K43" s="9" t="s">
        <v>176</v>
      </c>
      <c r="L43" s="9">
        <v>0.02</v>
      </c>
      <c r="M43" s="9" t="s">
        <v>302</v>
      </c>
    </row>
    <row r="44" spans="1:13" x14ac:dyDescent="0.35">
      <c r="A44">
        <v>43</v>
      </c>
      <c r="B44">
        <v>90</v>
      </c>
      <c r="C44" t="s">
        <v>128</v>
      </c>
      <c r="D44">
        <v>3</v>
      </c>
      <c r="E44">
        <v>1.5</v>
      </c>
      <c r="F44">
        <v>150</v>
      </c>
      <c r="G44">
        <v>150</v>
      </c>
      <c r="H44" t="s">
        <v>67</v>
      </c>
      <c r="I44">
        <v>3</v>
      </c>
      <c r="J44" s="9">
        <v>1</v>
      </c>
      <c r="K44" s="9" t="s">
        <v>176</v>
      </c>
      <c r="L44" s="9">
        <v>1.036</v>
      </c>
      <c r="M44" s="9" t="s">
        <v>303</v>
      </c>
    </row>
    <row r="45" spans="1:13" x14ac:dyDescent="0.35">
      <c r="A45">
        <v>44</v>
      </c>
      <c r="B45">
        <v>90</v>
      </c>
      <c r="C45" t="s">
        <v>128</v>
      </c>
      <c r="D45">
        <v>4</v>
      </c>
      <c r="E45">
        <v>1.5</v>
      </c>
      <c r="F45">
        <v>150</v>
      </c>
      <c r="G45">
        <v>150</v>
      </c>
      <c r="H45" t="s">
        <v>67</v>
      </c>
      <c r="I45">
        <v>3</v>
      </c>
      <c r="J45" s="9">
        <v>1</v>
      </c>
      <c r="K45" s="9" t="s">
        <v>176</v>
      </c>
      <c r="L45" s="9">
        <v>0.02</v>
      </c>
      <c r="M45" s="9" t="s">
        <v>304</v>
      </c>
    </row>
    <row r="46" spans="1:13" x14ac:dyDescent="0.35">
      <c r="A46">
        <v>45</v>
      </c>
      <c r="B46">
        <v>90</v>
      </c>
      <c r="C46" t="s">
        <v>128</v>
      </c>
      <c r="D46">
        <v>5</v>
      </c>
      <c r="E46">
        <v>1.5</v>
      </c>
      <c r="F46">
        <v>150</v>
      </c>
      <c r="G46">
        <v>150</v>
      </c>
      <c r="H46" t="s">
        <v>67</v>
      </c>
      <c r="I46">
        <v>3</v>
      </c>
      <c r="J46" s="9">
        <v>1</v>
      </c>
      <c r="K46" s="9" t="s">
        <v>176</v>
      </c>
      <c r="L46" s="9">
        <v>0.02</v>
      </c>
      <c r="M46" s="9" t="s">
        <v>305</v>
      </c>
    </row>
  </sheetData>
  <autoFilter ref="A1:M46" xr:uid="{00000000-0009-0000-0000-000006000000}"/>
  <conditionalFormatting sqref="J2:J46">
    <cfRule type="cellIs" dxfId="3" priority="1" operator="equal">
      <formula>0</formula>
    </cfRule>
    <cfRule type="cellIs" dxfId="2" priority="2" operator="equal">
      <formula>1</formula>
    </cfRule>
  </conditionalFormatting>
  <dataValidations count="1">
    <dataValidation type="list" allowBlank="1" errorTitle="Valor inválido" error="Digite somente 0 ou 1." promptTitle="Resultado da tentativa" prompt="1 = detectou; 0 = não detectou." sqref="J2:J46" xr:uid="{00000000-0002-0000-0600-000000000000}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9" customWidth="1"/>
    <col min="2" max="2" width="25" customWidth="1"/>
    <col min="3" max="3" width="16" customWidth="1"/>
    <col min="4" max="4" width="11" customWidth="1"/>
    <col min="5" max="5" width="10" customWidth="1"/>
    <col min="6" max="6" width="15" customWidth="1"/>
    <col min="7" max="7" width="18" customWidth="1"/>
    <col min="8" max="8" width="16" customWidth="1"/>
    <col min="9" max="10" width="18" customWidth="1"/>
    <col min="11" max="11" width="16" customWidth="1"/>
    <col min="12" max="12" width="38" customWidth="1"/>
    <col min="13" max="13" width="24" customWidth="1"/>
    <col min="14" max="14" width="55" customWidth="1"/>
  </cols>
  <sheetData>
    <row r="1" spans="1:14" ht="34" customHeight="1" x14ac:dyDescent="0.35">
      <c r="A1" s="1" t="s">
        <v>131</v>
      </c>
      <c r="B1" s="1" t="s">
        <v>137</v>
      </c>
      <c r="C1" s="1" t="s">
        <v>144</v>
      </c>
      <c r="D1" s="1" t="s">
        <v>120</v>
      </c>
      <c r="E1" s="1" t="s">
        <v>133</v>
      </c>
      <c r="F1" s="1" t="s">
        <v>143</v>
      </c>
      <c r="G1" s="1" t="s">
        <v>134</v>
      </c>
      <c r="H1" s="1" t="s">
        <v>135</v>
      </c>
      <c r="I1" s="1" t="s">
        <v>136</v>
      </c>
      <c r="J1" s="1" t="s">
        <v>138</v>
      </c>
      <c r="K1" s="1" t="s">
        <v>139</v>
      </c>
      <c r="L1" s="1" t="s">
        <v>140</v>
      </c>
      <c r="M1" s="1" t="s">
        <v>141</v>
      </c>
      <c r="N1" s="1" t="s">
        <v>142</v>
      </c>
    </row>
    <row r="2" spans="1:14" x14ac:dyDescent="0.35">
      <c r="A2">
        <v>1</v>
      </c>
      <c r="B2" t="s">
        <v>67</v>
      </c>
      <c r="C2">
        <v>0</v>
      </c>
      <c r="D2" t="s">
        <v>126</v>
      </c>
      <c r="E2">
        <v>1</v>
      </c>
      <c r="F2">
        <v>1.5</v>
      </c>
      <c r="G2">
        <v>150</v>
      </c>
      <c r="H2">
        <v>150</v>
      </c>
      <c r="I2">
        <v>0</v>
      </c>
      <c r="J2">
        <v>3</v>
      </c>
      <c r="K2" s="9">
        <v>1</v>
      </c>
      <c r="L2" s="9" t="s">
        <v>160</v>
      </c>
      <c r="M2" s="9">
        <v>1.9E-2</v>
      </c>
      <c r="N2" s="9" t="s">
        <v>187</v>
      </c>
    </row>
    <row r="3" spans="1:14" x14ac:dyDescent="0.35">
      <c r="A3">
        <v>2</v>
      </c>
      <c r="B3" t="s">
        <v>67</v>
      </c>
      <c r="C3">
        <v>0</v>
      </c>
      <c r="D3" t="s">
        <v>126</v>
      </c>
      <c r="E3">
        <v>2</v>
      </c>
      <c r="F3">
        <v>1.5</v>
      </c>
      <c r="G3">
        <v>150</v>
      </c>
      <c r="H3">
        <v>150</v>
      </c>
      <c r="I3">
        <v>0</v>
      </c>
      <c r="J3">
        <v>3</v>
      </c>
      <c r="K3" s="9">
        <v>1</v>
      </c>
      <c r="L3" s="9" t="s">
        <v>160</v>
      </c>
      <c r="M3" s="9">
        <v>0.02</v>
      </c>
      <c r="N3" s="9" t="s">
        <v>306</v>
      </c>
    </row>
    <row r="4" spans="1:14" x14ac:dyDescent="0.35">
      <c r="A4">
        <v>3</v>
      </c>
      <c r="B4" t="s">
        <v>67</v>
      </c>
      <c r="C4">
        <v>0</v>
      </c>
      <c r="D4" t="s">
        <v>126</v>
      </c>
      <c r="E4">
        <v>3</v>
      </c>
      <c r="F4">
        <v>1.5</v>
      </c>
      <c r="G4">
        <v>150</v>
      </c>
      <c r="H4">
        <v>150</v>
      </c>
      <c r="I4">
        <v>0</v>
      </c>
      <c r="J4">
        <v>3</v>
      </c>
      <c r="K4" s="9">
        <v>1</v>
      </c>
      <c r="L4" s="9" t="s">
        <v>160</v>
      </c>
      <c r="M4" s="9">
        <v>0.03</v>
      </c>
      <c r="N4" s="9" t="s">
        <v>178</v>
      </c>
    </row>
    <row r="5" spans="1:14" x14ac:dyDescent="0.35">
      <c r="A5">
        <v>4</v>
      </c>
      <c r="B5" t="s">
        <v>67</v>
      </c>
      <c r="C5">
        <v>0</v>
      </c>
      <c r="D5" t="s">
        <v>126</v>
      </c>
      <c r="E5">
        <v>4</v>
      </c>
      <c r="F5">
        <v>1.5</v>
      </c>
      <c r="G5">
        <v>150</v>
      </c>
      <c r="H5">
        <v>150</v>
      </c>
      <c r="I5">
        <v>0</v>
      </c>
      <c r="J5">
        <v>3</v>
      </c>
      <c r="K5" s="9">
        <v>1</v>
      </c>
      <c r="L5" s="9" t="s">
        <v>160</v>
      </c>
      <c r="M5" s="9">
        <v>1.9E-2</v>
      </c>
      <c r="N5" s="9" t="s">
        <v>307</v>
      </c>
    </row>
    <row r="6" spans="1:14" x14ac:dyDescent="0.35">
      <c r="A6">
        <v>5</v>
      </c>
      <c r="B6" t="s">
        <v>67</v>
      </c>
      <c r="C6">
        <v>0</v>
      </c>
      <c r="D6" t="s">
        <v>126</v>
      </c>
      <c r="E6">
        <v>5</v>
      </c>
      <c r="F6">
        <v>1.5</v>
      </c>
      <c r="G6">
        <v>150</v>
      </c>
      <c r="H6">
        <v>150</v>
      </c>
      <c r="I6">
        <v>0</v>
      </c>
      <c r="J6">
        <v>3</v>
      </c>
      <c r="K6" s="9">
        <v>1</v>
      </c>
      <c r="L6" s="9" t="s">
        <v>160</v>
      </c>
      <c r="M6" s="9">
        <v>0.02</v>
      </c>
      <c r="N6" s="9" t="s">
        <v>308</v>
      </c>
    </row>
    <row r="7" spans="1:14" x14ac:dyDescent="0.35">
      <c r="A7">
        <v>6</v>
      </c>
      <c r="B7" t="s">
        <v>68</v>
      </c>
      <c r="C7">
        <v>0</v>
      </c>
      <c r="D7" t="s">
        <v>126</v>
      </c>
      <c r="E7">
        <v>1</v>
      </c>
      <c r="F7">
        <v>1.5</v>
      </c>
      <c r="G7">
        <v>150</v>
      </c>
      <c r="H7">
        <v>150</v>
      </c>
      <c r="I7">
        <v>0</v>
      </c>
      <c r="J7">
        <v>3</v>
      </c>
      <c r="K7" s="9">
        <v>0</v>
      </c>
      <c r="L7" s="9"/>
      <c r="M7" s="9"/>
      <c r="N7" s="9" t="s">
        <v>192</v>
      </c>
    </row>
    <row r="8" spans="1:14" x14ac:dyDescent="0.35">
      <c r="A8">
        <v>7</v>
      </c>
      <c r="B8" t="s">
        <v>68</v>
      </c>
      <c r="C8">
        <v>0</v>
      </c>
      <c r="D8" t="s">
        <v>126</v>
      </c>
      <c r="E8">
        <v>2</v>
      </c>
      <c r="F8">
        <v>1.5</v>
      </c>
      <c r="G8">
        <v>150</v>
      </c>
      <c r="H8">
        <v>150</v>
      </c>
      <c r="I8">
        <v>0</v>
      </c>
      <c r="J8">
        <v>3</v>
      </c>
      <c r="K8" s="9">
        <v>0</v>
      </c>
      <c r="L8" s="9"/>
      <c r="M8" s="9"/>
      <c r="N8" s="9" t="s">
        <v>192</v>
      </c>
    </row>
    <row r="9" spans="1:14" x14ac:dyDescent="0.35">
      <c r="A9">
        <v>8</v>
      </c>
      <c r="B9" t="s">
        <v>68</v>
      </c>
      <c r="C9">
        <v>0</v>
      </c>
      <c r="D9" t="s">
        <v>126</v>
      </c>
      <c r="E9">
        <v>3</v>
      </c>
      <c r="F9">
        <v>1.5</v>
      </c>
      <c r="G9">
        <v>150</v>
      </c>
      <c r="H9">
        <v>150</v>
      </c>
      <c r="I9">
        <v>0</v>
      </c>
      <c r="J9">
        <v>3</v>
      </c>
      <c r="K9" s="9">
        <v>0</v>
      </c>
      <c r="L9" s="9"/>
      <c r="M9" s="9"/>
      <c r="N9" s="9" t="s">
        <v>192</v>
      </c>
    </row>
    <row r="10" spans="1:14" x14ac:dyDescent="0.35">
      <c r="A10">
        <v>9</v>
      </c>
      <c r="B10" t="s">
        <v>68</v>
      </c>
      <c r="C10">
        <v>0</v>
      </c>
      <c r="D10" t="s">
        <v>126</v>
      </c>
      <c r="E10">
        <v>4</v>
      </c>
      <c r="F10">
        <v>1.5</v>
      </c>
      <c r="G10">
        <v>150</v>
      </c>
      <c r="H10">
        <v>150</v>
      </c>
      <c r="I10">
        <v>0</v>
      </c>
      <c r="J10">
        <v>3</v>
      </c>
      <c r="K10" s="9">
        <v>0</v>
      </c>
      <c r="L10" s="9"/>
      <c r="M10" s="9"/>
      <c r="N10" s="9" t="s">
        <v>192</v>
      </c>
    </row>
    <row r="11" spans="1:14" x14ac:dyDescent="0.35">
      <c r="A11">
        <v>10</v>
      </c>
      <c r="B11" t="s">
        <v>68</v>
      </c>
      <c r="C11">
        <v>0</v>
      </c>
      <c r="D11" t="s">
        <v>126</v>
      </c>
      <c r="E11">
        <v>5</v>
      </c>
      <c r="F11">
        <v>1.5</v>
      </c>
      <c r="G11">
        <v>150</v>
      </c>
      <c r="H11">
        <v>150</v>
      </c>
      <c r="I11">
        <v>0</v>
      </c>
      <c r="J11">
        <v>3</v>
      </c>
      <c r="K11" s="9">
        <v>0</v>
      </c>
      <c r="L11" s="9"/>
      <c r="M11" s="9"/>
      <c r="N11" s="9" t="s">
        <v>202</v>
      </c>
    </row>
    <row r="12" spans="1:14" x14ac:dyDescent="0.35">
      <c r="A12">
        <v>11</v>
      </c>
      <c r="B12" t="s">
        <v>69</v>
      </c>
      <c r="C12">
        <v>10</v>
      </c>
      <c r="D12" t="s">
        <v>126</v>
      </c>
      <c r="E12">
        <v>1</v>
      </c>
      <c r="F12">
        <v>1.5</v>
      </c>
      <c r="G12">
        <v>150</v>
      </c>
      <c r="H12">
        <v>150</v>
      </c>
      <c r="I12">
        <v>0</v>
      </c>
      <c r="J12">
        <v>3</v>
      </c>
      <c r="K12" s="9">
        <v>1</v>
      </c>
      <c r="L12" s="9" t="s">
        <v>160</v>
      </c>
      <c r="M12" s="9">
        <v>5.7000000000000002E-2</v>
      </c>
      <c r="N12" s="9" t="s">
        <v>340</v>
      </c>
    </row>
    <row r="13" spans="1:14" x14ac:dyDescent="0.35">
      <c r="A13">
        <v>12</v>
      </c>
      <c r="B13" t="s">
        <v>69</v>
      </c>
      <c r="C13">
        <v>10</v>
      </c>
      <c r="D13" t="s">
        <v>126</v>
      </c>
      <c r="E13">
        <v>2</v>
      </c>
      <c r="F13">
        <v>1.5</v>
      </c>
      <c r="G13">
        <v>150</v>
      </c>
      <c r="H13">
        <v>150</v>
      </c>
      <c r="I13">
        <v>0</v>
      </c>
      <c r="J13">
        <v>3</v>
      </c>
      <c r="K13" s="9">
        <v>1</v>
      </c>
      <c r="L13" s="9" t="s">
        <v>160</v>
      </c>
      <c r="M13" s="9">
        <v>0.02</v>
      </c>
      <c r="N13" s="9" t="s">
        <v>341</v>
      </c>
    </row>
    <row r="14" spans="1:14" x14ac:dyDescent="0.35">
      <c r="A14">
        <v>13</v>
      </c>
      <c r="B14" t="s">
        <v>69</v>
      </c>
      <c r="C14">
        <v>10</v>
      </c>
      <c r="D14" t="s">
        <v>126</v>
      </c>
      <c r="E14">
        <v>3</v>
      </c>
      <c r="F14">
        <v>1.5</v>
      </c>
      <c r="G14">
        <v>150</v>
      </c>
      <c r="H14">
        <v>150</v>
      </c>
      <c r="I14">
        <v>0</v>
      </c>
      <c r="J14">
        <v>3</v>
      </c>
      <c r="K14" s="9">
        <v>1</v>
      </c>
      <c r="L14" s="9" t="s">
        <v>160</v>
      </c>
      <c r="M14" s="9">
        <v>2.4E-2</v>
      </c>
      <c r="N14" s="9" t="s">
        <v>342</v>
      </c>
    </row>
    <row r="15" spans="1:14" x14ac:dyDescent="0.35">
      <c r="A15">
        <v>14</v>
      </c>
      <c r="B15" t="s">
        <v>69</v>
      </c>
      <c r="C15">
        <v>10</v>
      </c>
      <c r="D15" t="s">
        <v>126</v>
      </c>
      <c r="E15">
        <v>4</v>
      </c>
      <c r="F15">
        <v>1.5</v>
      </c>
      <c r="G15">
        <v>150</v>
      </c>
      <c r="H15">
        <v>150</v>
      </c>
      <c r="I15">
        <v>0</v>
      </c>
      <c r="J15">
        <v>3</v>
      </c>
      <c r="K15" s="9">
        <v>1</v>
      </c>
      <c r="L15" s="9" t="s">
        <v>160</v>
      </c>
      <c r="M15" s="9">
        <v>1.9E-2</v>
      </c>
      <c r="N15" s="9" t="s">
        <v>343</v>
      </c>
    </row>
    <row r="16" spans="1:14" x14ac:dyDescent="0.35">
      <c r="A16">
        <v>15</v>
      </c>
      <c r="B16" t="s">
        <v>69</v>
      </c>
      <c r="C16">
        <v>10</v>
      </c>
      <c r="D16" t="s">
        <v>126</v>
      </c>
      <c r="E16">
        <v>5</v>
      </c>
      <c r="F16">
        <v>1.5</v>
      </c>
      <c r="G16">
        <v>150</v>
      </c>
      <c r="H16">
        <v>150</v>
      </c>
      <c r="I16">
        <v>0</v>
      </c>
      <c r="J16">
        <v>3</v>
      </c>
      <c r="K16" s="9">
        <v>1</v>
      </c>
      <c r="L16" s="9" t="s">
        <v>160</v>
      </c>
      <c r="M16" s="9">
        <v>1.9E-2</v>
      </c>
      <c r="N16" s="9" t="s">
        <v>344</v>
      </c>
    </row>
  </sheetData>
  <autoFilter ref="A1:N16" xr:uid="{00000000-0009-0000-0000-000007000000}"/>
  <conditionalFormatting sqref="K2:K16">
    <cfRule type="cellIs" dxfId="1" priority="1" operator="equal">
      <formula>0</formula>
    </cfRule>
    <cfRule type="cellIs" dxfId="0" priority="2" operator="equal">
      <formula>1</formula>
    </cfRule>
  </conditionalFormatting>
  <dataValidations count="1">
    <dataValidation type="list" allowBlank="1" errorTitle="Valor inválido" error="Digite somente 0 ou 1." promptTitle="Resultado da tentativa" prompt="1 = detectou; 0 = não detectou." sqref="K2:K16" xr:uid="{00000000-0002-0000-0700-000000000000}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0" customWidth="1"/>
    <col min="2" max="3" width="20" customWidth="1"/>
    <col min="4" max="4" width="58" customWidth="1"/>
    <col min="5" max="5" width="22" customWidth="1"/>
    <col min="6" max="7" width="16" customWidth="1"/>
    <col min="8" max="8" width="18" customWidth="1"/>
    <col min="9" max="9" width="32" customWidth="1"/>
    <col min="10" max="10" width="55" customWidth="1"/>
  </cols>
  <sheetData>
    <row r="1" spans="1:10" ht="34" customHeight="1" x14ac:dyDescent="0.35">
      <c r="A1" s="1" t="s">
        <v>145</v>
      </c>
      <c r="B1" s="1" t="s">
        <v>138</v>
      </c>
      <c r="C1" s="1" t="s">
        <v>146</v>
      </c>
      <c r="D1" s="1" t="s">
        <v>147</v>
      </c>
      <c r="E1" s="1" t="s">
        <v>148</v>
      </c>
      <c r="F1" s="1" t="s">
        <v>149</v>
      </c>
      <c r="G1" s="1" t="s">
        <v>150</v>
      </c>
      <c r="H1" s="1" t="s">
        <v>151</v>
      </c>
      <c r="I1" s="1" t="s">
        <v>152</v>
      </c>
      <c r="J1" s="1" t="s">
        <v>142</v>
      </c>
    </row>
    <row r="2" spans="1:10" x14ac:dyDescent="0.35">
      <c r="A2">
        <v>1</v>
      </c>
      <c r="B2">
        <v>25</v>
      </c>
      <c r="C2">
        <v>5</v>
      </c>
      <c r="D2" s="9" t="s">
        <v>309</v>
      </c>
      <c r="E2" s="9">
        <v>4</v>
      </c>
      <c r="F2" s="7">
        <f>IF(C2&gt;0,E2/C2*100,"")</f>
        <v>80</v>
      </c>
      <c r="G2" s="6">
        <f>IF(E2="","",--(E2=C2))</f>
        <v>0</v>
      </c>
      <c r="H2" s="9">
        <v>0</v>
      </c>
      <c r="I2" s="9" t="s">
        <v>153</v>
      </c>
      <c r="J2" s="9" t="s">
        <v>310</v>
      </c>
    </row>
    <row r="3" spans="1:10" x14ac:dyDescent="0.35">
      <c r="A3">
        <v>2</v>
      </c>
      <c r="B3">
        <v>25</v>
      </c>
      <c r="C3">
        <v>5</v>
      </c>
      <c r="D3" s="9" t="s">
        <v>311</v>
      </c>
      <c r="E3" s="9">
        <v>4</v>
      </c>
      <c r="F3" s="7">
        <f>IF(C3&gt;0,E3/C3*100,"")</f>
        <v>80</v>
      </c>
      <c r="G3" s="6">
        <f>IF(E3="","",--(E3=C3))</f>
        <v>0</v>
      </c>
      <c r="H3" s="9">
        <v>0</v>
      </c>
      <c r="I3" s="9" t="s">
        <v>153</v>
      </c>
      <c r="J3" s="9" t="s">
        <v>312</v>
      </c>
    </row>
    <row r="4" spans="1:10" x14ac:dyDescent="0.35">
      <c r="A4">
        <v>3</v>
      </c>
      <c r="B4">
        <v>25</v>
      </c>
      <c r="C4">
        <v>5</v>
      </c>
      <c r="D4" s="9" t="s">
        <v>313</v>
      </c>
      <c r="E4" s="9">
        <v>4</v>
      </c>
      <c r="F4" s="7">
        <f>IF(C4&gt;0,E4/C4*100,"")</f>
        <v>80</v>
      </c>
      <c r="G4" s="6">
        <f>IF(E4="","",--(E4=C4))</f>
        <v>0</v>
      </c>
      <c r="H4" s="9">
        <v>0</v>
      </c>
      <c r="I4" s="9" t="s">
        <v>153</v>
      </c>
      <c r="J4" s="9" t="s">
        <v>314</v>
      </c>
    </row>
    <row r="5" spans="1:10" x14ac:dyDescent="0.35">
      <c r="A5">
        <v>4</v>
      </c>
      <c r="B5">
        <v>25</v>
      </c>
      <c r="C5">
        <v>5</v>
      </c>
      <c r="D5" s="9" t="s">
        <v>315</v>
      </c>
      <c r="E5" s="9">
        <v>4</v>
      </c>
      <c r="F5" s="7">
        <f>IF(C5&gt;0,E5/C5*100,"")</f>
        <v>80</v>
      </c>
      <c r="G5" s="6">
        <f>IF(E5="","",--(E5=C5))</f>
        <v>0</v>
      </c>
      <c r="H5" s="9">
        <v>0</v>
      </c>
      <c r="I5" s="9" t="s">
        <v>153</v>
      </c>
      <c r="J5" s="9" t="s">
        <v>316</v>
      </c>
    </row>
    <row r="6" spans="1:10" x14ac:dyDescent="0.35">
      <c r="A6">
        <v>5</v>
      </c>
      <c r="B6">
        <v>25</v>
      </c>
      <c r="C6">
        <v>5</v>
      </c>
      <c r="D6" s="9" t="s">
        <v>317</v>
      </c>
      <c r="E6" s="9">
        <v>3</v>
      </c>
      <c r="F6" s="7">
        <f>IF(C6&gt;0,E6/C6*100,"")</f>
        <v>60</v>
      </c>
      <c r="G6" s="6">
        <f>IF(E6="","",--(E6=C6))</f>
        <v>0</v>
      </c>
      <c r="H6" s="9">
        <v>0</v>
      </c>
      <c r="I6" s="9" t="s">
        <v>153</v>
      </c>
      <c r="J6" s="9" t="s">
        <v>318</v>
      </c>
    </row>
  </sheetData>
  <autoFilter ref="A1:J6" xr:uid="{00000000-0009-0000-0000-000008000000}"/>
  <dataValidations count="1">
    <dataValidation type="list" allowBlank="1" errorTitle="Valor inválido" error="Digite somente 0 ou 1." promptTitle="Resultado da tentativa" prompt="1 = detectou; 0 = não detectou." sqref="G2:G6" xr:uid="{00000000-0002-0000-0800-000000000000}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0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4" customWidth="1"/>
    <col min="2" max="2" width="20" customWidth="1"/>
    <col min="3" max="3" width="28" customWidth="1"/>
    <col min="4" max="4" width="12" customWidth="1"/>
    <col min="5" max="5" width="42" customWidth="1"/>
    <col min="6" max="6" width="22" customWidth="1"/>
    <col min="7" max="7" width="80" customWidth="1"/>
    <col min="8" max="8" width="50" customWidth="1"/>
  </cols>
  <sheetData>
    <row r="1" spans="1:8" ht="34" customHeight="1" x14ac:dyDescent="0.35">
      <c r="A1" s="1" t="s">
        <v>154</v>
      </c>
      <c r="B1" s="1" t="s">
        <v>155</v>
      </c>
      <c r="C1" s="1" t="s">
        <v>156</v>
      </c>
      <c r="D1" s="1" t="s">
        <v>133</v>
      </c>
      <c r="E1" s="1" t="s">
        <v>157</v>
      </c>
      <c r="F1" s="1" t="s">
        <v>158</v>
      </c>
      <c r="G1" s="1" t="s">
        <v>159</v>
      </c>
      <c r="H1" s="1" t="s">
        <v>142</v>
      </c>
    </row>
    <row r="2" spans="1:8" x14ac:dyDescent="0.35">
      <c r="A2" s="9">
        <v>1188939</v>
      </c>
      <c r="B2" s="9" t="s">
        <v>167</v>
      </c>
      <c r="C2" s="9" t="s">
        <v>168</v>
      </c>
      <c r="D2" s="9">
        <v>1</v>
      </c>
      <c r="E2" s="9" t="s">
        <v>166</v>
      </c>
      <c r="F2" s="9">
        <v>1</v>
      </c>
      <c r="G2" s="9" t="s">
        <v>169</v>
      </c>
      <c r="H2" s="9" t="s">
        <v>170</v>
      </c>
    </row>
    <row r="3" spans="1:8" x14ac:dyDescent="0.35">
      <c r="A3" s="9">
        <v>1193944</v>
      </c>
      <c r="B3" s="9" t="s">
        <v>167</v>
      </c>
      <c r="C3" s="9" t="s">
        <v>168</v>
      </c>
      <c r="D3" s="9">
        <v>2</v>
      </c>
      <c r="E3" s="9" t="s">
        <v>166</v>
      </c>
      <c r="F3" s="9">
        <v>1</v>
      </c>
      <c r="G3" s="9" t="s">
        <v>171</v>
      </c>
      <c r="H3" s="9" t="s">
        <v>170</v>
      </c>
    </row>
    <row r="4" spans="1:8" x14ac:dyDescent="0.35">
      <c r="A4" s="9">
        <v>1198950</v>
      </c>
      <c r="B4" s="9" t="s">
        <v>167</v>
      </c>
      <c r="C4" s="9" t="s">
        <v>168</v>
      </c>
      <c r="D4" s="9">
        <v>3</v>
      </c>
      <c r="E4" s="9" t="s">
        <v>166</v>
      </c>
      <c r="F4" s="9">
        <v>1</v>
      </c>
      <c r="G4" s="9" t="s">
        <v>172</v>
      </c>
      <c r="H4" s="9" t="s">
        <v>170</v>
      </c>
    </row>
    <row r="5" spans="1:8" x14ac:dyDescent="0.35">
      <c r="A5" s="9">
        <v>1204454</v>
      </c>
      <c r="B5" s="9" t="s">
        <v>167</v>
      </c>
      <c r="C5" s="9" t="s">
        <v>168</v>
      </c>
      <c r="D5" s="9">
        <v>4</v>
      </c>
      <c r="E5" s="9" t="s">
        <v>166</v>
      </c>
      <c r="F5" s="9">
        <v>1</v>
      </c>
      <c r="G5" s="9" t="s">
        <v>173</v>
      </c>
      <c r="H5" s="9" t="s">
        <v>170</v>
      </c>
    </row>
    <row r="6" spans="1:8" x14ac:dyDescent="0.35">
      <c r="A6" s="9">
        <v>2385785</v>
      </c>
      <c r="B6" s="9" t="s">
        <v>167</v>
      </c>
      <c r="C6" s="9" t="s">
        <v>206</v>
      </c>
      <c r="D6" s="9">
        <v>1</v>
      </c>
      <c r="E6" s="9" t="s">
        <v>207</v>
      </c>
      <c r="F6" s="9">
        <v>0</v>
      </c>
      <c r="G6" s="9" t="s">
        <v>208</v>
      </c>
      <c r="H6" s="9" t="s">
        <v>209</v>
      </c>
    </row>
    <row r="7" spans="1:8" x14ac:dyDescent="0.35">
      <c r="A7" s="9">
        <v>2390790</v>
      </c>
      <c r="B7" s="9" t="s">
        <v>167</v>
      </c>
      <c r="C7" s="9" t="s">
        <v>206</v>
      </c>
      <c r="D7" s="9">
        <v>2</v>
      </c>
      <c r="E7" s="9" t="s">
        <v>166</v>
      </c>
      <c r="F7" s="9">
        <v>1</v>
      </c>
      <c r="G7" s="9" t="s">
        <v>210</v>
      </c>
      <c r="H7" s="9" t="s">
        <v>209</v>
      </c>
    </row>
    <row r="8" spans="1:8" x14ac:dyDescent="0.35">
      <c r="A8" s="9">
        <v>2395797</v>
      </c>
      <c r="B8" s="9" t="s">
        <v>167</v>
      </c>
      <c r="C8" s="9" t="s">
        <v>206</v>
      </c>
      <c r="D8" s="9">
        <v>3</v>
      </c>
      <c r="E8" s="9" t="s">
        <v>166</v>
      </c>
      <c r="F8" s="9">
        <v>1</v>
      </c>
      <c r="G8" s="9" t="s">
        <v>211</v>
      </c>
      <c r="H8" s="9" t="s">
        <v>209</v>
      </c>
    </row>
    <row r="9" spans="1:8" x14ac:dyDescent="0.35">
      <c r="A9" s="9">
        <v>2401302</v>
      </c>
      <c r="B9" s="9" t="s">
        <v>167</v>
      </c>
      <c r="C9" s="9" t="s">
        <v>206</v>
      </c>
      <c r="D9" s="9">
        <v>4</v>
      </c>
      <c r="E9" s="9" t="s">
        <v>207</v>
      </c>
      <c r="F9" s="9">
        <v>0</v>
      </c>
      <c r="G9" s="9" t="s">
        <v>212</v>
      </c>
      <c r="H9" s="9" t="s">
        <v>209</v>
      </c>
    </row>
    <row r="10" spans="1:8" x14ac:dyDescent="0.35">
      <c r="A10" s="9">
        <v>2406308</v>
      </c>
      <c r="B10" s="9" t="s">
        <v>167</v>
      </c>
      <c r="C10" s="9" t="s">
        <v>206</v>
      </c>
      <c r="D10" s="9">
        <v>5</v>
      </c>
      <c r="E10" s="9" t="s">
        <v>207</v>
      </c>
      <c r="F10" s="9">
        <v>0</v>
      </c>
      <c r="G10" s="9" t="s">
        <v>213</v>
      </c>
      <c r="H10" s="9" t="s">
        <v>209</v>
      </c>
    </row>
    <row r="11" spans="1:8" x14ac:dyDescent="0.35">
      <c r="A11" s="9">
        <v>2540025</v>
      </c>
      <c r="B11" s="9" t="s">
        <v>167</v>
      </c>
      <c r="C11" s="9" t="s">
        <v>214</v>
      </c>
      <c r="D11" s="9">
        <v>1</v>
      </c>
      <c r="E11" s="9" t="s">
        <v>207</v>
      </c>
      <c r="F11" s="9">
        <v>0</v>
      </c>
      <c r="G11" s="9" t="s">
        <v>215</v>
      </c>
      <c r="H11" s="9" t="s">
        <v>216</v>
      </c>
    </row>
    <row r="12" spans="1:8" x14ac:dyDescent="0.35">
      <c r="A12" s="9">
        <v>2545527</v>
      </c>
      <c r="B12" s="9" t="s">
        <v>167</v>
      </c>
      <c r="C12" s="9" t="s">
        <v>214</v>
      </c>
      <c r="D12" s="9">
        <v>2</v>
      </c>
      <c r="E12" s="9" t="s">
        <v>207</v>
      </c>
      <c r="F12" s="9">
        <v>0</v>
      </c>
      <c r="G12" s="9" t="s">
        <v>217</v>
      </c>
      <c r="H12" s="9" t="s">
        <v>216</v>
      </c>
    </row>
    <row r="13" spans="1:8" x14ac:dyDescent="0.35">
      <c r="A13" s="9">
        <v>2550531</v>
      </c>
      <c r="B13" s="9" t="s">
        <v>167</v>
      </c>
      <c r="C13" s="9" t="s">
        <v>214</v>
      </c>
      <c r="D13" s="9">
        <v>3</v>
      </c>
      <c r="E13" s="9" t="s">
        <v>207</v>
      </c>
      <c r="F13" s="9">
        <v>0</v>
      </c>
      <c r="G13" s="9" t="s">
        <v>218</v>
      </c>
      <c r="H13" s="9" t="s">
        <v>216</v>
      </c>
    </row>
    <row r="14" spans="1:8" x14ac:dyDescent="0.35">
      <c r="A14" s="9">
        <v>2555536</v>
      </c>
      <c r="B14" s="9" t="s">
        <v>167</v>
      </c>
      <c r="C14" s="9" t="s">
        <v>214</v>
      </c>
      <c r="D14" s="9">
        <v>4</v>
      </c>
      <c r="E14" s="9" t="s">
        <v>207</v>
      </c>
      <c r="F14" s="9">
        <v>0</v>
      </c>
      <c r="G14" s="9" t="s">
        <v>219</v>
      </c>
      <c r="H14" s="9" t="s">
        <v>216</v>
      </c>
    </row>
    <row r="15" spans="1:8" x14ac:dyDescent="0.35">
      <c r="A15" s="9">
        <v>2560540</v>
      </c>
      <c r="B15" s="9" t="s">
        <v>167</v>
      </c>
      <c r="C15" s="9" t="s">
        <v>214</v>
      </c>
      <c r="D15" s="9">
        <v>5</v>
      </c>
      <c r="E15" s="9" t="s">
        <v>207</v>
      </c>
      <c r="F15" s="9">
        <v>0</v>
      </c>
      <c r="G15" s="9" t="s">
        <v>220</v>
      </c>
      <c r="H15" s="9" t="s">
        <v>216</v>
      </c>
    </row>
    <row r="16" spans="1:8" x14ac:dyDescent="0.35">
      <c r="A16" s="9">
        <v>2566550</v>
      </c>
      <c r="B16" s="9" t="s">
        <v>167</v>
      </c>
      <c r="C16" s="9" t="s">
        <v>214</v>
      </c>
      <c r="D16" s="9">
        <v>1</v>
      </c>
      <c r="E16" s="9" t="s">
        <v>207</v>
      </c>
      <c r="F16" s="9">
        <v>0</v>
      </c>
      <c r="G16" s="9" t="s">
        <v>221</v>
      </c>
      <c r="H16" s="9" t="s">
        <v>216</v>
      </c>
    </row>
    <row r="17" spans="1:8" x14ac:dyDescent="0.35">
      <c r="A17" s="9">
        <v>2571555</v>
      </c>
      <c r="B17" s="9" t="s">
        <v>167</v>
      </c>
      <c r="C17" s="9" t="s">
        <v>214</v>
      </c>
      <c r="D17" s="9">
        <v>2</v>
      </c>
      <c r="E17" s="9" t="s">
        <v>207</v>
      </c>
      <c r="F17" s="9">
        <v>0</v>
      </c>
      <c r="G17" s="9" t="s">
        <v>222</v>
      </c>
      <c r="H17" s="9" t="s">
        <v>216</v>
      </c>
    </row>
    <row r="18" spans="1:8" x14ac:dyDescent="0.35">
      <c r="A18" s="9">
        <v>2576560</v>
      </c>
      <c r="B18" s="9" t="s">
        <v>167</v>
      </c>
      <c r="C18" s="9" t="s">
        <v>214</v>
      </c>
      <c r="D18" s="9">
        <v>3</v>
      </c>
      <c r="E18" s="9" t="s">
        <v>207</v>
      </c>
      <c r="F18" s="9">
        <v>0</v>
      </c>
      <c r="G18" s="9" t="s">
        <v>223</v>
      </c>
      <c r="H18" s="9" t="s">
        <v>216</v>
      </c>
    </row>
    <row r="19" spans="1:8" x14ac:dyDescent="0.35">
      <c r="A19" s="9">
        <v>2581564</v>
      </c>
      <c r="B19" s="9" t="s">
        <v>167</v>
      </c>
      <c r="C19" s="9" t="s">
        <v>214</v>
      </c>
      <c r="D19" s="9">
        <v>4</v>
      </c>
      <c r="E19" s="9" t="s">
        <v>207</v>
      </c>
      <c r="F19" s="9">
        <v>0</v>
      </c>
      <c r="G19" s="9" t="s">
        <v>224</v>
      </c>
      <c r="H19" s="9" t="s">
        <v>216</v>
      </c>
    </row>
    <row r="20" spans="1:8" x14ac:dyDescent="0.35">
      <c r="A20" s="9">
        <v>2586568</v>
      </c>
      <c r="B20" s="9" t="s">
        <v>167</v>
      </c>
      <c r="C20" s="9" t="s">
        <v>214</v>
      </c>
      <c r="D20" s="9">
        <v>5</v>
      </c>
      <c r="E20" s="9" t="s">
        <v>207</v>
      </c>
      <c r="F20" s="9">
        <v>0</v>
      </c>
      <c r="G20" s="9" t="s">
        <v>225</v>
      </c>
      <c r="H20" s="9" t="s">
        <v>216</v>
      </c>
    </row>
    <row r="21" spans="1:8" x14ac:dyDescent="0.35">
      <c r="A21" s="9">
        <v>2448484</v>
      </c>
      <c r="B21" s="9" t="s">
        <v>226</v>
      </c>
      <c r="C21" s="9" t="s">
        <v>227</v>
      </c>
      <c r="D21" s="9"/>
      <c r="E21" s="9" t="s">
        <v>207</v>
      </c>
      <c r="F21" s="9">
        <v>0</v>
      </c>
      <c r="G21" s="9" t="s">
        <v>228</v>
      </c>
      <c r="H21" s="9" t="s">
        <v>229</v>
      </c>
    </row>
    <row r="22" spans="1:8" x14ac:dyDescent="0.35">
      <c r="A22" s="9">
        <v>2451237</v>
      </c>
      <c r="B22" s="9" t="s">
        <v>226</v>
      </c>
      <c r="C22" s="9" t="s">
        <v>227</v>
      </c>
      <c r="D22" s="9"/>
      <c r="E22" s="9" t="s">
        <v>207</v>
      </c>
      <c r="F22" s="9">
        <v>0</v>
      </c>
      <c r="G22" s="9" t="s">
        <v>230</v>
      </c>
      <c r="H22" s="9" t="s">
        <v>229</v>
      </c>
    </row>
    <row r="23" spans="1:8" x14ac:dyDescent="0.35">
      <c r="A23" s="9">
        <v>2453171</v>
      </c>
      <c r="B23" s="9" t="s">
        <v>226</v>
      </c>
      <c r="C23" s="9" t="s">
        <v>231</v>
      </c>
      <c r="D23" s="9"/>
      <c r="E23" s="9" t="s">
        <v>176</v>
      </c>
      <c r="F23" s="9">
        <v>1</v>
      </c>
      <c r="G23" s="9" t="s">
        <v>232</v>
      </c>
      <c r="H23" s="9" t="s">
        <v>229</v>
      </c>
    </row>
    <row r="24" spans="1:8" x14ac:dyDescent="0.35">
      <c r="A24" s="9">
        <v>2493300</v>
      </c>
      <c r="B24" s="9" t="s">
        <v>226</v>
      </c>
      <c r="C24" s="9" t="s">
        <v>227</v>
      </c>
      <c r="D24" s="9"/>
      <c r="E24" s="9" t="s">
        <v>207</v>
      </c>
      <c r="F24" s="9">
        <v>0</v>
      </c>
      <c r="G24" s="9" t="s">
        <v>233</v>
      </c>
      <c r="H24" s="9" t="s">
        <v>229</v>
      </c>
    </row>
    <row r="25" spans="1:8" x14ac:dyDescent="0.35">
      <c r="A25" s="9">
        <v>2497976</v>
      </c>
      <c r="B25" s="9" t="s">
        <v>226</v>
      </c>
      <c r="C25" s="9" t="s">
        <v>234</v>
      </c>
      <c r="D25" s="9"/>
      <c r="E25" s="9" t="s">
        <v>207</v>
      </c>
      <c r="F25" s="9">
        <v>0</v>
      </c>
      <c r="G25" s="9" t="s">
        <v>235</v>
      </c>
      <c r="H25" s="9" t="s">
        <v>229</v>
      </c>
    </row>
    <row r="26" spans="1:8" x14ac:dyDescent="0.35">
      <c r="A26" s="9">
        <v>2498735</v>
      </c>
      <c r="B26" s="9" t="s">
        <v>226</v>
      </c>
      <c r="C26" s="9" t="s">
        <v>227</v>
      </c>
      <c r="D26" s="9"/>
      <c r="E26" s="9" t="s">
        <v>207</v>
      </c>
      <c r="F26" s="9">
        <v>0</v>
      </c>
      <c r="G26" s="9" t="s">
        <v>236</v>
      </c>
      <c r="H26" s="9" t="s">
        <v>229</v>
      </c>
    </row>
    <row r="27" spans="1:8" x14ac:dyDescent="0.35">
      <c r="A27" s="9">
        <v>2500511</v>
      </c>
      <c r="B27" s="9" t="s">
        <v>226</v>
      </c>
      <c r="C27" s="9" t="s">
        <v>231</v>
      </c>
      <c r="D27" s="9"/>
      <c r="E27" s="9" t="s">
        <v>237</v>
      </c>
      <c r="F27" s="9">
        <v>1</v>
      </c>
      <c r="G27" s="9" t="s">
        <v>238</v>
      </c>
      <c r="H27" s="9" t="s">
        <v>229</v>
      </c>
    </row>
    <row r="28" spans="1:8" x14ac:dyDescent="0.35">
      <c r="A28" s="9">
        <v>2501240</v>
      </c>
      <c r="B28" s="9" t="s">
        <v>226</v>
      </c>
      <c r="C28" s="9" t="s">
        <v>231</v>
      </c>
      <c r="D28" s="9"/>
      <c r="E28" s="9" t="s">
        <v>237</v>
      </c>
      <c r="F28" s="9">
        <v>1</v>
      </c>
      <c r="G28" s="9" t="s">
        <v>239</v>
      </c>
      <c r="H28" s="9" t="s">
        <v>229</v>
      </c>
    </row>
    <row r="29" spans="1:8" x14ac:dyDescent="0.35">
      <c r="A29" s="9">
        <v>2502029</v>
      </c>
      <c r="B29" s="9" t="s">
        <v>226</v>
      </c>
      <c r="C29" s="9" t="s">
        <v>231</v>
      </c>
      <c r="D29" s="9"/>
      <c r="E29" s="9" t="s">
        <v>237</v>
      </c>
      <c r="F29" s="9">
        <v>1</v>
      </c>
      <c r="G29" s="9" t="s">
        <v>240</v>
      </c>
      <c r="H29" s="9" t="s">
        <v>229</v>
      </c>
    </row>
    <row r="30" spans="1:8" x14ac:dyDescent="0.35">
      <c r="A30" s="9">
        <v>2502656</v>
      </c>
      <c r="B30" s="9" t="s">
        <v>226</v>
      </c>
      <c r="C30" s="9" t="s">
        <v>231</v>
      </c>
      <c r="D30" s="9"/>
      <c r="E30" s="9" t="s">
        <v>237</v>
      </c>
      <c r="F30" s="9">
        <v>1</v>
      </c>
      <c r="G30" s="9" t="s">
        <v>241</v>
      </c>
      <c r="H30" s="9" t="s">
        <v>229</v>
      </c>
    </row>
    <row r="31" spans="1:8" x14ac:dyDescent="0.35">
      <c r="A31" s="9">
        <v>2503870</v>
      </c>
      <c r="B31" s="9" t="s">
        <v>226</v>
      </c>
      <c r="C31" s="9" t="s">
        <v>227</v>
      </c>
      <c r="D31" s="9"/>
      <c r="E31" s="9" t="s">
        <v>207</v>
      </c>
      <c r="F31" s="9">
        <v>0</v>
      </c>
      <c r="G31" s="9" t="s">
        <v>242</v>
      </c>
      <c r="H31" s="9" t="s">
        <v>229</v>
      </c>
    </row>
    <row r="32" spans="1:8" x14ac:dyDescent="0.35">
      <c r="A32" s="9">
        <v>2504500</v>
      </c>
      <c r="B32" s="9" t="s">
        <v>226</v>
      </c>
      <c r="C32" s="9" t="s">
        <v>227</v>
      </c>
      <c r="D32" s="9"/>
      <c r="E32" s="9" t="s">
        <v>207</v>
      </c>
      <c r="F32" s="9">
        <v>0</v>
      </c>
      <c r="G32" s="9" t="s">
        <v>243</v>
      </c>
      <c r="H32" s="9" t="s">
        <v>229</v>
      </c>
    </row>
    <row r="33" spans="1:8" x14ac:dyDescent="0.35">
      <c r="A33" s="9">
        <v>2505962</v>
      </c>
      <c r="B33" s="9" t="s">
        <v>226</v>
      </c>
      <c r="C33" s="9" t="s">
        <v>227</v>
      </c>
      <c r="D33" s="9"/>
      <c r="E33" s="9" t="s">
        <v>207</v>
      </c>
      <c r="F33" s="9">
        <v>0</v>
      </c>
      <c r="G33" s="9" t="s">
        <v>244</v>
      </c>
      <c r="H33" s="9" t="s">
        <v>229</v>
      </c>
    </row>
    <row r="34" spans="1:8" x14ac:dyDescent="0.35">
      <c r="A34" s="9">
        <v>2506655</v>
      </c>
      <c r="B34" s="9" t="s">
        <v>226</v>
      </c>
      <c r="C34" s="9" t="s">
        <v>227</v>
      </c>
      <c r="D34" s="9"/>
      <c r="E34" s="9" t="s">
        <v>207</v>
      </c>
      <c r="F34" s="9">
        <v>0</v>
      </c>
      <c r="G34" s="9" t="s">
        <v>245</v>
      </c>
      <c r="H34" s="9" t="s">
        <v>229</v>
      </c>
    </row>
    <row r="35" spans="1:8" x14ac:dyDescent="0.35">
      <c r="A35" s="9">
        <v>2526733</v>
      </c>
      <c r="B35" s="9" t="s">
        <v>226</v>
      </c>
      <c r="C35" s="9" t="s">
        <v>227</v>
      </c>
      <c r="D35" s="9"/>
      <c r="E35" s="9" t="s">
        <v>207</v>
      </c>
      <c r="F35" s="9">
        <v>0</v>
      </c>
      <c r="G35" s="9" t="s">
        <v>246</v>
      </c>
      <c r="H35" s="9" t="s">
        <v>229</v>
      </c>
    </row>
    <row r="36" spans="1:8" x14ac:dyDescent="0.35">
      <c r="A36" s="9">
        <v>2527795</v>
      </c>
      <c r="B36" s="9" t="s">
        <v>226</v>
      </c>
      <c r="C36" s="9" t="s">
        <v>231</v>
      </c>
      <c r="D36" s="9"/>
      <c r="E36" s="9" t="s">
        <v>247</v>
      </c>
      <c r="F36" s="9">
        <v>1</v>
      </c>
      <c r="G36" s="9" t="s">
        <v>248</v>
      </c>
      <c r="H36" s="9" t="s">
        <v>229</v>
      </c>
    </row>
    <row r="37" spans="1:8" x14ac:dyDescent="0.35">
      <c r="A37" s="9">
        <v>2528526</v>
      </c>
      <c r="B37" s="9" t="s">
        <v>226</v>
      </c>
      <c r="C37" s="9" t="s">
        <v>231</v>
      </c>
      <c r="D37" s="9"/>
      <c r="E37" s="9" t="s">
        <v>247</v>
      </c>
      <c r="F37" s="9">
        <v>1</v>
      </c>
      <c r="G37" s="9" t="s">
        <v>249</v>
      </c>
      <c r="H37" s="9" t="s">
        <v>229</v>
      </c>
    </row>
    <row r="38" spans="1:8" x14ac:dyDescent="0.35">
      <c r="A38" s="9">
        <v>2529595</v>
      </c>
      <c r="B38" s="9" t="s">
        <v>226</v>
      </c>
      <c r="C38" s="9" t="s">
        <v>250</v>
      </c>
      <c r="D38" s="9"/>
      <c r="E38" s="9" t="s">
        <v>207</v>
      </c>
      <c r="F38" s="9">
        <v>0</v>
      </c>
      <c r="G38" s="9" t="s">
        <v>251</v>
      </c>
      <c r="H38" s="9" t="s">
        <v>229</v>
      </c>
    </row>
    <row r="39" spans="1:8" x14ac:dyDescent="0.35">
      <c r="A39" s="9">
        <v>2530167</v>
      </c>
      <c r="B39" s="9" t="s">
        <v>226</v>
      </c>
      <c r="C39" s="9" t="s">
        <v>227</v>
      </c>
      <c r="D39" s="9"/>
      <c r="E39" s="9" t="s">
        <v>207</v>
      </c>
      <c r="F39" s="9">
        <v>0</v>
      </c>
      <c r="G39" s="9" t="s">
        <v>252</v>
      </c>
      <c r="H39" s="9" t="s">
        <v>229</v>
      </c>
    </row>
    <row r="40" spans="1:8" x14ac:dyDescent="0.35">
      <c r="A40" s="9">
        <v>2531020</v>
      </c>
      <c r="B40" s="9" t="s">
        <v>226</v>
      </c>
      <c r="C40" s="9" t="s">
        <v>227</v>
      </c>
      <c r="D40" s="9"/>
      <c r="E40" s="9" t="s">
        <v>207</v>
      </c>
      <c r="F40" s="9">
        <v>0</v>
      </c>
      <c r="G40" s="9" t="s">
        <v>253</v>
      </c>
      <c r="H40" s="9" t="s">
        <v>229</v>
      </c>
    </row>
    <row r="41" spans="1:8" x14ac:dyDescent="0.35">
      <c r="A41" s="9">
        <v>2531759</v>
      </c>
      <c r="B41" s="9" t="s">
        <v>226</v>
      </c>
      <c r="C41" s="9" t="s">
        <v>227</v>
      </c>
      <c r="D41" s="9"/>
      <c r="E41" s="9" t="s">
        <v>207</v>
      </c>
      <c r="F41" s="9">
        <v>0</v>
      </c>
      <c r="G41" s="9" t="s">
        <v>254</v>
      </c>
      <c r="H41" s="9" t="s">
        <v>229</v>
      </c>
    </row>
    <row r="42" spans="1:8" x14ac:dyDescent="0.35">
      <c r="A42" s="9">
        <v>2532308</v>
      </c>
      <c r="B42" s="9" t="s">
        <v>226</v>
      </c>
      <c r="C42" s="9" t="s">
        <v>227</v>
      </c>
      <c r="D42" s="9"/>
      <c r="E42" s="9" t="s">
        <v>207</v>
      </c>
      <c r="F42" s="9">
        <v>0</v>
      </c>
      <c r="G42" s="9" t="s">
        <v>255</v>
      </c>
      <c r="H42" s="9" t="s">
        <v>229</v>
      </c>
    </row>
    <row r="43" spans="1:8" x14ac:dyDescent="0.35">
      <c r="A43" s="9">
        <v>2533524</v>
      </c>
      <c r="B43" s="9" t="s">
        <v>226</v>
      </c>
      <c r="C43" s="9" t="s">
        <v>234</v>
      </c>
      <c r="D43" s="9"/>
      <c r="E43" s="9" t="s">
        <v>207</v>
      </c>
      <c r="F43" s="9">
        <v>0</v>
      </c>
      <c r="G43" s="9" t="s">
        <v>256</v>
      </c>
      <c r="H43" s="9" t="s">
        <v>229</v>
      </c>
    </row>
    <row r="44" spans="1:8" x14ac:dyDescent="0.35">
      <c r="A44" s="9">
        <v>3667888</v>
      </c>
      <c r="B44" s="9" t="s">
        <v>281</v>
      </c>
      <c r="C44" s="9" t="s">
        <v>282</v>
      </c>
      <c r="D44" s="9">
        <v>1</v>
      </c>
      <c r="E44" s="9" t="s">
        <v>207</v>
      </c>
      <c r="F44" s="9">
        <v>0</v>
      </c>
      <c r="G44" s="9" t="s">
        <v>283</v>
      </c>
      <c r="H44" s="9" t="s">
        <v>284</v>
      </c>
    </row>
    <row r="45" spans="1:8" x14ac:dyDescent="0.35">
      <c r="A45" s="9">
        <v>3672894</v>
      </c>
      <c r="B45" s="9" t="s">
        <v>281</v>
      </c>
      <c r="C45" s="9" t="s">
        <v>282</v>
      </c>
      <c r="D45" s="9">
        <v>2</v>
      </c>
      <c r="E45" s="9" t="s">
        <v>207</v>
      </c>
      <c r="F45" s="9">
        <v>0</v>
      </c>
      <c r="G45" s="9" t="s">
        <v>285</v>
      </c>
      <c r="H45" s="9" t="s">
        <v>284</v>
      </c>
    </row>
    <row r="46" spans="1:8" x14ac:dyDescent="0.35">
      <c r="A46" s="9">
        <v>3677901</v>
      </c>
      <c r="B46" s="9" t="s">
        <v>281</v>
      </c>
      <c r="C46" s="9" t="s">
        <v>282</v>
      </c>
      <c r="D46" s="9">
        <v>3</v>
      </c>
      <c r="E46" s="9" t="s">
        <v>176</v>
      </c>
      <c r="F46" s="9">
        <v>1</v>
      </c>
      <c r="G46" s="9" t="s">
        <v>286</v>
      </c>
      <c r="H46" s="9" t="s">
        <v>284</v>
      </c>
    </row>
    <row r="47" spans="1:8" x14ac:dyDescent="0.35">
      <c r="A47" s="9">
        <v>3682909</v>
      </c>
      <c r="B47" s="9" t="s">
        <v>281</v>
      </c>
      <c r="C47" s="9" t="s">
        <v>282</v>
      </c>
      <c r="D47" s="9">
        <v>4</v>
      </c>
      <c r="E47" s="9" t="s">
        <v>207</v>
      </c>
      <c r="F47" s="9">
        <v>0</v>
      </c>
      <c r="G47" s="9" t="s">
        <v>287</v>
      </c>
      <c r="H47" s="9" t="s">
        <v>284</v>
      </c>
    </row>
    <row r="48" spans="1:8" x14ac:dyDescent="0.35">
      <c r="A48" s="9">
        <v>3687913</v>
      </c>
      <c r="B48" s="9" t="s">
        <v>281</v>
      </c>
      <c r="C48" s="9" t="s">
        <v>282</v>
      </c>
      <c r="D48" s="9">
        <v>5</v>
      </c>
      <c r="E48" s="9" t="s">
        <v>207</v>
      </c>
      <c r="F48" s="9">
        <v>0</v>
      </c>
      <c r="G48" s="9" t="s">
        <v>288</v>
      </c>
      <c r="H48" s="9" t="s">
        <v>284</v>
      </c>
    </row>
    <row r="49" spans="1:8" x14ac:dyDescent="0.35">
      <c r="A49" s="9"/>
      <c r="B49" s="9"/>
      <c r="C49" s="9"/>
      <c r="D49" s="9"/>
      <c r="E49" s="9"/>
      <c r="F49" s="9"/>
      <c r="G49" s="9"/>
      <c r="H49" s="9"/>
    </row>
    <row r="50" spans="1:8" x14ac:dyDescent="0.35">
      <c r="A50" s="9"/>
      <c r="B50" s="9"/>
      <c r="C50" s="9"/>
      <c r="D50" s="9"/>
      <c r="E50" s="9"/>
      <c r="F50" s="9"/>
      <c r="G50" s="9"/>
      <c r="H50" s="9"/>
    </row>
    <row r="51" spans="1:8" x14ac:dyDescent="0.35">
      <c r="A51" s="9"/>
      <c r="B51" s="9"/>
      <c r="C51" s="9"/>
      <c r="D51" s="9"/>
      <c r="E51" s="9"/>
      <c r="F51" s="9"/>
      <c r="G51" s="9"/>
      <c r="H51" s="9"/>
    </row>
    <row r="52" spans="1:8" x14ac:dyDescent="0.35">
      <c r="A52" s="9"/>
      <c r="B52" s="9"/>
      <c r="C52" s="9"/>
      <c r="D52" s="9"/>
      <c r="E52" s="9"/>
      <c r="F52" s="9"/>
      <c r="G52" s="9"/>
      <c r="H52" s="9"/>
    </row>
    <row r="53" spans="1:8" x14ac:dyDescent="0.35">
      <c r="A53" s="9"/>
      <c r="B53" s="9"/>
      <c r="C53" s="9"/>
      <c r="D53" s="9"/>
      <c r="E53" s="9"/>
      <c r="F53" s="9"/>
      <c r="G53" s="9"/>
      <c r="H53" s="9"/>
    </row>
    <row r="54" spans="1:8" x14ac:dyDescent="0.35">
      <c r="A54" s="9"/>
      <c r="B54" s="9"/>
      <c r="C54" s="9"/>
      <c r="D54" s="9"/>
      <c r="E54" s="9"/>
      <c r="F54" s="9"/>
      <c r="G54" s="9"/>
      <c r="H54" s="9"/>
    </row>
    <row r="55" spans="1:8" x14ac:dyDescent="0.35">
      <c r="A55" s="9"/>
      <c r="B55" s="9"/>
      <c r="C55" s="9"/>
      <c r="D55" s="9"/>
      <c r="E55" s="9"/>
      <c r="F55" s="9"/>
      <c r="G55" s="9"/>
      <c r="H55" s="9"/>
    </row>
    <row r="56" spans="1:8" x14ac:dyDescent="0.35">
      <c r="A56" s="9"/>
      <c r="B56" s="9"/>
      <c r="C56" s="9"/>
      <c r="D56" s="9"/>
      <c r="E56" s="9"/>
      <c r="F56" s="9"/>
      <c r="G56" s="9"/>
      <c r="H56" s="9"/>
    </row>
    <row r="57" spans="1:8" x14ac:dyDescent="0.35">
      <c r="A57" s="9"/>
      <c r="B57" s="9"/>
      <c r="C57" s="9"/>
      <c r="D57" s="9"/>
      <c r="E57" s="9"/>
      <c r="F57" s="9"/>
      <c r="G57" s="9"/>
      <c r="H57" s="9"/>
    </row>
    <row r="58" spans="1:8" x14ac:dyDescent="0.35">
      <c r="A58" s="9"/>
      <c r="B58" s="9"/>
      <c r="C58" s="9"/>
      <c r="D58" s="9"/>
      <c r="E58" s="9"/>
      <c r="F58" s="9"/>
      <c r="G58" s="9"/>
      <c r="H58" s="9"/>
    </row>
    <row r="59" spans="1:8" x14ac:dyDescent="0.35">
      <c r="A59" s="9"/>
      <c r="B59" s="9"/>
      <c r="C59" s="9"/>
      <c r="D59" s="9"/>
      <c r="E59" s="9"/>
      <c r="F59" s="9"/>
      <c r="G59" s="9"/>
      <c r="H59" s="9"/>
    </row>
    <row r="60" spans="1:8" x14ac:dyDescent="0.35">
      <c r="A60" s="9"/>
      <c r="B60" s="9"/>
      <c r="C60" s="9"/>
      <c r="D60" s="9"/>
      <c r="E60" s="9"/>
      <c r="F60" s="9"/>
      <c r="G60" s="9"/>
      <c r="H60" s="9"/>
    </row>
    <row r="61" spans="1:8" x14ac:dyDescent="0.35">
      <c r="A61" s="9"/>
      <c r="B61" s="9"/>
      <c r="C61" s="9"/>
      <c r="D61" s="9"/>
      <c r="E61" s="9"/>
      <c r="F61" s="9"/>
      <c r="G61" s="9"/>
      <c r="H61" s="9"/>
    </row>
    <row r="62" spans="1:8" x14ac:dyDescent="0.35">
      <c r="A62" s="9"/>
      <c r="B62" s="9"/>
      <c r="C62" s="9"/>
      <c r="D62" s="9"/>
      <c r="E62" s="9"/>
      <c r="F62" s="9"/>
      <c r="G62" s="9"/>
      <c r="H62" s="9"/>
    </row>
    <row r="63" spans="1:8" x14ac:dyDescent="0.35">
      <c r="A63" s="9"/>
      <c r="B63" s="9"/>
      <c r="C63" s="9"/>
      <c r="D63" s="9"/>
      <c r="E63" s="9"/>
      <c r="F63" s="9"/>
      <c r="G63" s="9"/>
      <c r="H63" s="9"/>
    </row>
    <row r="64" spans="1:8" x14ac:dyDescent="0.35">
      <c r="A64" s="9"/>
      <c r="B64" s="9"/>
      <c r="C64" s="9"/>
      <c r="D64" s="9"/>
      <c r="E64" s="9"/>
      <c r="F64" s="9"/>
      <c r="G64" s="9"/>
      <c r="H64" s="9"/>
    </row>
    <row r="65" spans="1:8" x14ac:dyDescent="0.35">
      <c r="A65" s="9"/>
      <c r="B65" s="9"/>
      <c r="C65" s="9"/>
      <c r="D65" s="9"/>
      <c r="E65" s="9"/>
      <c r="F65" s="9"/>
      <c r="G65" s="9"/>
      <c r="H65" s="9"/>
    </row>
    <row r="66" spans="1:8" x14ac:dyDescent="0.35">
      <c r="A66" s="9"/>
      <c r="B66" s="9"/>
      <c r="C66" s="9"/>
      <c r="D66" s="9"/>
      <c r="E66" s="9"/>
      <c r="F66" s="9"/>
      <c r="G66" s="9"/>
      <c r="H66" s="9"/>
    </row>
    <row r="67" spans="1:8" x14ac:dyDescent="0.35">
      <c r="A67" s="9"/>
      <c r="B67" s="9"/>
      <c r="C67" s="9"/>
      <c r="D67" s="9"/>
      <c r="E67" s="9"/>
      <c r="F67" s="9"/>
      <c r="G67" s="9"/>
      <c r="H67" s="9"/>
    </row>
    <row r="68" spans="1:8" x14ac:dyDescent="0.35">
      <c r="A68" s="9"/>
      <c r="B68" s="9"/>
      <c r="C68" s="9"/>
      <c r="D68" s="9"/>
      <c r="E68" s="9"/>
      <c r="F68" s="9"/>
      <c r="G68" s="9"/>
      <c r="H68" s="9"/>
    </row>
    <row r="69" spans="1:8" x14ac:dyDescent="0.35">
      <c r="A69" s="9"/>
      <c r="B69" s="9"/>
      <c r="C69" s="9"/>
      <c r="D69" s="9"/>
      <c r="E69" s="9"/>
      <c r="F69" s="9"/>
      <c r="G69" s="9"/>
      <c r="H69" s="9"/>
    </row>
    <row r="70" spans="1:8" x14ac:dyDescent="0.35">
      <c r="A70" s="9"/>
      <c r="B70" s="9"/>
      <c r="C70" s="9"/>
      <c r="D70" s="9"/>
      <c r="E70" s="9"/>
      <c r="F70" s="9"/>
      <c r="G70" s="9"/>
      <c r="H70" s="9"/>
    </row>
    <row r="71" spans="1:8" x14ac:dyDescent="0.35">
      <c r="A71" s="9"/>
      <c r="B71" s="9"/>
      <c r="C71" s="9"/>
      <c r="D71" s="9"/>
      <c r="E71" s="9"/>
      <c r="F71" s="9"/>
      <c r="G71" s="9"/>
      <c r="H71" s="9"/>
    </row>
    <row r="72" spans="1:8" x14ac:dyDescent="0.35">
      <c r="A72" s="9"/>
      <c r="B72" s="9"/>
      <c r="C72" s="9"/>
      <c r="D72" s="9"/>
      <c r="E72" s="9"/>
      <c r="F72" s="9"/>
      <c r="G72" s="9"/>
      <c r="H72" s="9"/>
    </row>
    <row r="73" spans="1:8" x14ac:dyDescent="0.35">
      <c r="A73" s="9"/>
      <c r="B73" s="9"/>
      <c r="C73" s="9"/>
      <c r="D73" s="9"/>
      <c r="E73" s="9"/>
      <c r="F73" s="9"/>
      <c r="G73" s="9"/>
      <c r="H73" s="9"/>
    </row>
    <row r="74" spans="1:8" x14ac:dyDescent="0.35">
      <c r="A74" s="9"/>
      <c r="B74" s="9"/>
      <c r="C74" s="9"/>
      <c r="D74" s="9"/>
      <c r="E74" s="9"/>
      <c r="F74" s="9"/>
      <c r="G74" s="9"/>
      <c r="H74" s="9"/>
    </row>
    <row r="75" spans="1:8" x14ac:dyDescent="0.35">
      <c r="A75" s="9"/>
      <c r="B75" s="9"/>
      <c r="C75" s="9"/>
      <c r="D75" s="9"/>
      <c r="E75" s="9"/>
      <c r="F75" s="9"/>
      <c r="G75" s="9"/>
      <c r="H75" s="9"/>
    </row>
    <row r="76" spans="1:8" x14ac:dyDescent="0.35">
      <c r="A76" s="9"/>
      <c r="B76" s="9"/>
      <c r="C76" s="9"/>
      <c r="D76" s="9"/>
      <c r="E76" s="9"/>
      <c r="F76" s="9"/>
      <c r="G76" s="9"/>
      <c r="H76" s="9"/>
    </row>
    <row r="77" spans="1:8" x14ac:dyDescent="0.35">
      <c r="A77" s="9"/>
      <c r="B77" s="9"/>
      <c r="C77" s="9"/>
      <c r="D77" s="9"/>
      <c r="E77" s="9"/>
      <c r="F77" s="9"/>
      <c r="G77" s="9"/>
      <c r="H77" s="9"/>
    </row>
    <row r="78" spans="1:8" x14ac:dyDescent="0.35">
      <c r="A78" s="9"/>
      <c r="B78" s="9"/>
      <c r="C78" s="9"/>
      <c r="D78" s="9"/>
      <c r="E78" s="9"/>
      <c r="F78" s="9"/>
      <c r="G78" s="9"/>
      <c r="H78" s="9"/>
    </row>
    <row r="79" spans="1:8" x14ac:dyDescent="0.35">
      <c r="A79" s="9"/>
      <c r="B79" s="9"/>
      <c r="C79" s="9"/>
      <c r="D79" s="9"/>
      <c r="E79" s="9"/>
      <c r="F79" s="9"/>
      <c r="G79" s="9"/>
      <c r="H79" s="9"/>
    </row>
    <row r="80" spans="1:8" x14ac:dyDescent="0.35">
      <c r="A80" s="9"/>
      <c r="B80" s="9"/>
      <c r="C80" s="9"/>
      <c r="D80" s="9"/>
      <c r="E80" s="9"/>
      <c r="F80" s="9"/>
      <c r="G80" s="9"/>
      <c r="H80" s="9"/>
    </row>
    <row r="81" spans="1:8" x14ac:dyDescent="0.35">
      <c r="A81" s="9"/>
      <c r="B81" s="9"/>
      <c r="C81" s="9"/>
      <c r="D81" s="9"/>
      <c r="E81" s="9"/>
      <c r="F81" s="9"/>
      <c r="G81" s="9"/>
      <c r="H81" s="9"/>
    </row>
    <row r="82" spans="1:8" x14ac:dyDescent="0.35">
      <c r="A82" s="9"/>
      <c r="B82" s="9"/>
      <c r="C82" s="9"/>
      <c r="D82" s="9"/>
      <c r="E82" s="9"/>
      <c r="F82" s="9"/>
      <c r="G82" s="9"/>
      <c r="H82" s="9"/>
    </row>
    <row r="83" spans="1:8" x14ac:dyDescent="0.35">
      <c r="A83" s="9"/>
      <c r="B83" s="9"/>
      <c r="C83" s="9"/>
      <c r="D83" s="9"/>
      <c r="E83" s="9"/>
      <c r="F83" s="9"/>
      <c r="G83" s="9"/>
      <c r="H83" s="9"/>
    </row>
    <row r="84" spans="1:8" x14ac:dyDescent="0.35">
      <c r="A84" s="9"/>
      <c r="B84" s="9"/>
      <c r="C84" s="9"/>
      <c r="D84" s="9"/>
      <c r="E84" s="9"/>
      <c r="F84" s="9"/>
      <c r="G84" s="9"/>
      <c r="H84" s="9"/>
    </row>
    <row r="85" spans="1:8" x14ac:dyDescent="0.35">
      <c r="A85" s="9"/>
      <c r="B85" s="9"/>
      <c r="C85" s="9"/>
      <c r="D85" s="9"/>
      <c r="E85" s="9"/>
      <c r="F85" s="9"/>
      <c r="G85" s="9"/>
      <c r="H85" s="9"/>
    </row>
    <row r="86" spans="1:8" x14ac:dyDescent="0.35">
      <c r="A86" s="9"/>
      <c r="B86" s="9"/>
      <c r="C86" s="9"/>
      <c r="D86" s="9"/>
      <c r="E86" s="9"/>
      <c r="F86" s="9"/>
      <c r="G86" s="9"/>
      <c r="H86" s="9"/>
    </row>
    <row r="87" spans="1:8" x14ac:dyDescent="0.35">
      <c r="A87" s="9"/>
      <c r="B87" s="9"/>
      <c r="C87" s="9"/>
      <c r="D87" s="9"/>
      <c r="E87" s="9"/>
      <c r="F87" s="9"/>
      <c r="G87" s="9"/>
      <c r="H87" s="9"/>
    </row>
    <row r="88" spans="1:8" x14ac:dyDescent="0.35">
      <c r="A88" s="9"/>
      <c r="B88" s="9"/>
      <c r="C88" s="9"/>
      <c r="D88" s="9"/>
      <c r="E88" s="9"/>
      <c r="F88" s="9"/>
      <c r="G88" s="9"/>
      <c r="H88" s="9"/>
    </row>
    <row r="89" spans="1:8" x14ac:dyDescent="0.35">
      <c r="A89" s="9"/>
      <c r="B89" s="9"/>
      <c r="C89" s="9"/>
      <c r="D89" s="9"/>
      <c r="E89" s="9"/>
      <c r="F89" s="9"/>
      <c r="G89" s="9"/>
      <c r="H89" s="9"/>
    </row>
    <row r="90" spans="1:8" x14ac:dyDescent="0.35">
      <c r="A90" s="9"/>
      <c r="B90" s="9"/>
      <c r="C90" s="9"/>
      <c r="D90" s="9"/>
      <c r="E90" s="9"/>
      <c r="F90" s="9"/>
      <c r="G90" s="9"/>
      <c r="H90" s="9"/>
    </row>
    <row r="91" spans="1:8" x14ac:dyDescent="0.35">
      <c r="A91" s="9"/>
      <c r="B91" s="9"/>
      <c r="C91" s="9"/>
      <c r="D91" s="9"/>
      <c r="E91" s="9"/>
      <c r="F91" s="9"/>
      <c r="G91" s="9"/>
      <c r="H91" s="9"/>
    </row>
    <row r="92" spans="1:8" x14ac:dyDescent="0.35">
      <c r="A92" s="9"/>
      <c r="B92" s="9"/>
      <c r="C92" s="9"/>
      <c r="D92" s="9"/>
      <c r="E92" s="9"/>
      <c r="F92" s="9"/>
      <c r="G92" s="9"/>
      <c r="H92" s="9"/>
    </row>
    <row r="93" spans="1:8" x14ac:dyDescent="0.35">
      <c r="A93" s="9"/>
      <c r="B93" s="9"/>
      <c r="C93" s="9"/>
      <c r="D93" s="9"/>
      <c r="E93" s="9"/>
      <c r="F93" s="9"/>
      <c r="G93" s="9"/>
      <c r="H93" s="9"/>
    </row>
    <row r="94" spans="1:8" x14ac:dyDescent="0.35">
      <c r="A94" s="9"/>
      <c r="B94" s="9"/>
      <c r="C94" s="9"/>
      <c r="D94" s="9"/>
      <c r="E94" s="9"/>
      <c r="F94" s="9"/>
      <c r="G94" s="9"/>
      <c r="H94" s="9"/>
    </row>
    <row r="95" spans="1:8" x14ac:dyDescent="0.35">
      <c r="A95" s="9"/>
      <c r="B95" s="9"/>
      <c r="C95" s="9"/>
      <c r="D95" s="9"/>
      <c r="E95" s="9"/>
      <c r="F95" s="9"/>
      <c r="G95" s="9"/>
      <c r="H95" s="9"/>
    </row>
    <row r="96" spans="1:8" x14ac:dyDescent="0.35">
      <c r="A96" s="9"/>
      <c r="B96" s="9"/>
      <c r="C96" s="9"/>
      <c r="D96" s="9"/>
      <c r="E96" s="9"/>
      <c r="F96" s="9"/>
      <c r="G96" s="9"/>
      <c r="H96" s="9"/>
    </row>
    <row r="97" spans="1:8" x14ac:dyDescent="0.35">
      <c r="A97" s="9"/>
      <c r="B97" s="9"/>
      <c r="C97" s="9"/>
      <c r="D97" s="9"/>
      <c r="E97" s="9"/>
      <c r="F97" s="9"/>
      <c r="G97" s="9"/>
      <c r="H97" s="9"/>
    </row>
    <row r="98" spans="1:8" x14ac:dyDescent="0.35">
      <c r="A98" s="9"/>
      <c r="B98" s="9"/>
      <c r="C98" s="9"/>
      <c r="D98" s="9"/>
      <c r="E98" s="9"/>
      <c r="F98" s="9"/>
      <c r="G98" s="9"/>
      <c r="H98" s="9"/>
    </row>
    <row r="99" spans="1:8" x14ac:dyDescent="0.35">
      <c r="A99" s="9"/>
      <c r="B99" s="9"/>
      <c r="C99" s="9"/>
      <c r="D99" s="9"/>
      <c r="E99" s="9"/>
      <c r="F99" s="9"/>
      <c r="G99" s="9"/>
      <c r="H99" s="9"/>
    </row>
    <row r="100" spans="1:8" x14ac:dyDescent="0.35">
      <c r="A100" s="9"/>
      <c r="B100" s="9"/>
      <c r="C100" s="9"/>
      <c r="D100" s="9"/>
      <c r="E100" s="9"/>
      <c r="F100" s="9"/>
      <c r="G100" s="9"/>
      <c r="H100" s="9"/>
    </row>
    <row r="101" spans="1:8" x14ac:dyDescent="0.35">
      <c r="A101" s="9"/>
      <c r="B101" s="9"/>
      <c r="C101" s="9"/>
      <c r="D101" s="9"/>
      <c r="E101" s="9"/>
      <c r="F101" s="9"/>
      <c r="G101" s="9"/>
      <c r="H101" s="9"/>
    </row>
    <row r="102" spans="1:8" x14ac:dyDescent="0.35">
      <c r="A102" s="9"/>
      <c r="B102" s="9"/>
      <c r="C102" s="9"/>
      <c r="D102" s="9"/>
      <c r="E102" s="9"/>
      <c r="F102" s="9"/>
      <c r="G102" s="9"/>
      <c r="H102" s="9"/>
    </row>
    <row r="103" spans="1:8" x14ac:dyDescent="0.35">
      <c r="A103" s="9"/>
      <c r="B103" s="9"/>
      <c r="C103" s="9"/>
      <c r="D103" s="9"/>
      <c r="E103" s="9"/>
      <c r="F103" s="9"/>
      <c r="G103" s="9"/>
      <c r="H103" s="9"/>
    </row>
    <row r="104" spans="1:8" x14ac:dyDescent="0.35">
      <c r="A104" s="9"/>
      <c r="B104" s="9"/>
      <c r="C104" s="9"/>
      <c r="D104" s="9"/>
      <c r="E104" s="9"/>
      <c r="F104" s="9"/>
      <c r="G104" s="9"/>
      <c r="H104" s="9"/>
    </row>
    <row r="105" spans="1:8" x14ac:dyDescent="0.35">
      <c r="A105" s="9"/>
      <c r="B105" s="9"/>
      <c r="C105" s="9"/>
      <c r="D105" s="9"/>
      <c r="E105" s="9"/>
      <c r="F105" s="9"/>
      <c r="G105" s="9"/>
      <c r="H105" s="9"/>
    </row>
    <row r="106" spans="1:8" x14ac:dyDescent="0.35">
      <c r="A106" s="9"/>
      <c r="B106" s="9"/>
      <c r="C106" s="9"/>
      <c r="D106" s="9"/>
      <c r="E106" s="9"/>
      <c r="F106" s="9"/>
      <c r="G106" s="9"/>
      <c r="H106" s="9"/>
    </row>
    <row r="107" spans="1:8" x14ac:dyDescent="0.35">
      <c r="A107" s="9"/>
      <c r="B107" s="9"/>
      <c r="C107" s="9"/>
      <c r="D107" s="9"/>
      <c r="E107" s="9"/>
      <c r="F107" s="9"/>
      <c r="G107" s="9"/>
      <c r="H107" s="9"/>
    </row>
    <row r="108" spans="1:8" x14ac:dyDescent="0.35">
      <c r="A108" s="9"/>
      <c r="B108" s="9"/>
      <c r="C108" s="9"/>
      <c r="D108" s="9"/>
      <c r="E108" s="9"/>
      <c r="F108" s="9"/>
      <c r="G108" s="9"/>
      <c r="H108" s="9"/>
    </row>
    <row r="109" spans="1:8" x14ac:dyDescent="0.35">
      <c r="A109" s="9"/>
      <c r="B109" s="9"/>
      <c r="C109" s="9"/>
      <c r="D109" s="9"/>
      <c r="E109" s="9"/>
      <c r="F109" s="9"/>
      <c r="G109" s="9"/>
      <c r="H109" s="9"/>
    </row>
    <row r="110" spans="1:8" x14ac:dyDescent="0.35">
      <c r="A110" s="9"/>
      <c r="B110" s="9"/>
      <c r="C110" s="9"/>
      <c r="D110" s="9"/>
      <c r="E110" s="9"/>
      <c r="F110" s="9"/>
      <c r="G110" s="9"/>
      <c r="H110" s="9"/>
    </row>
    <row r="111" spans="1:8" x14ac:dyDescent="0.35">
      <c r="A111" s="9"/>
      <c r="B111" s="9"/>
      <c r="C111" s="9"/>
      <c r="D111" s="9"/>
      <c r="E111" s="9"/>
      <c r="F111" s="9"/>
      <c r="G111" s="9"/>
      <c r="H111" s="9"/>
    </row>
    <row r="112" spans="1:8" x14ac:dyDescent="0.35">
      <c r="A112" s="9"/>
      <c r="B112" s="9"/>
      <c r="C112" s="9"/>
      <c r="D112" s="9"/>
      <c r="E112" s="9"/>
      <c r="F112" s="9"/>
      <c r="G112" s="9"/>
      <c r="H112" s="9"/>
    </row>
    <row r="113" spans="1:8" x14ac:dyDescent="0.35">
      <c r="A113" s="9"/>
      <c r="B113" s="9"/>
      <c r="C113" s="9"/>
      <c r="D113" s="9"/>
      <c r="E113" s="9"/>
      <c r="F113" s="9"/>
      <c r="G113" s="9"/>
      <c r="H113" s="9"/>
    </row>
    <row r="114" spans="1:8" x14ac:dyDescent="0.35">
      <c r="A114" s="9"/>
      <c r="B114" s="9"/>
      <c r="C114" s="9"/>
      <c r="D114" s="9"/>
      <c r="E114" s="9"/>
      <c r="F114" s="9"/>
      <c r="G114" s="9"/>
      <c r="H114" s="9"/>
    </row>
    <row r="115" spans="1:8" x14ac:dyDescent="0.35">
      <c r="A115" s="9"/>
      <c r="B115" s="9"/>
      <c r="C115" s="9"/>
      <c r="D115" s="9"/>
      <c r="E115" s="9"/>
      <c r="F115" s="9"/>
      <c r="G115" s="9"/>
      <c r="H115" s="9"/>
    </row>
    <row r="116" spans="1:8" x14ac:dyDescent="0.35">
      <c r="A116" s="9"/>
      <c r="B116" s="9"/>
      <c r="C116" s="9"/>
      <c r="D116" s="9"/>
      <c r="E116" s="9"/>
      <c r="F116" s="9"/>
      <c r="G116" s="9"/>
      <c r="H116" s="9"/>
    </row>
    <row r="117" spans="1:8" x14ac:dyDescent="0.35">
      <c r="A117" s="9"/>
      <c r="B117" s="9"/>
      <c r="C117" s="9"/>
      <c r="D117" s="9"/>
      <c r="E117" s="9"/>
      <c r="F117" s="9"/>
      <c r="G117" s="9"/>
      <c r="H117" s="9"/>
    </row>
    <row r="118" spans="1:8" x14ac:dyDescent="0.35">
      <c r="A118" s="9"/>
      <c r="B118" s="9"/>
      <c r="C118" s="9"/>
      <c r="D118" s="9"/>
      <c r="E118" s="9"/>
      <c r="F118" s="9"/>
      <c r="G118" s="9"/>
      <c r="H118" s="9"/>
    </row>
    <row r="119" spans="1:8" x14ac:dyDescent="0.35">
      <c r="A119" s="9"/>
      <c r="B119" s="9"/>
      <c r="C119" s="9"/>
      <c r="D119" s="9"/>
      <c r="E119" s="9"/>
      <c r="F119" s="9"/>
      <c r="G119" s="9"/>
      <c r="H119" s="9"/>
    </row>
    <row r="120" spans="1:8" x14ac:dyDescent="0.35">
      <c r="A120" s="9"/>
      <c r="B120" s="9"/>
      <c r="C120" s="9"/>
      <c r="D120" s="9"/>
      <c r="E120" s="9"/>
      <c r="F120" s="9"/>
      <c r="G120" s="9"/>
      <c r="H120" s="9"/>
    </row>
    <row r="121" spans="1:8" x14ac:dyDescent="0.35">
      <c r="A121" s="9"/>
      <c r="B121" s="9"/>
      <c r="C121" s="9"/>
      <c r="D121" s="9"/>
      <c r="E121" s="9"/>
      <c r="F121" s="9"/>
      <c r="G121" s="9"/>
      <c r="H121" s="9"/>
    </row>
    <row r="122" spans="1:8" x14ac:dyDescent="0.35">
      <c r="A122" s="9"/>
      <c r="B122" s="9"/>
      <c r="C122" s="9"/>
      <c r="D122" s="9"/>
      <c r="E122" s="9"/>
      <c r="F122" s="9"/>
      <c r="G122" s="9"/>
      <c r="H122" s="9"/>
    </row>
    <row r="123" spans="1:8" x14ac:dyDescent="0.35">
      <c r="A123" s="9"/>
      <c r="B123" s="9"/>
      <c r="C123" s="9"/>
      <c r="D123" s="9"/>
      <c r="E123" s="9"/>
      <c r="F123" s="9"/>
      <c r="G123" s="9"/>
      <c r="H123" s="9"/>
    </row>
    <row r="124" spans="1:8" x14ac:dyDescent="0.35">
      <c r="A124" s="9"/>
      <c r="B124" s="9"/>
      <c r="C124" s="9"/>
      <c r="D124" s="9"/>
      <c r="E124" s="9"/>
      <c r="F124" s="9"/>
      <c r="G124" s="9"/>
      <c r="H124" s="9"/>
    </row>
    <row r="125" spans="1:8" x14ac:dyDescent="0.35">
      <c r="A125" s="9"/>
      <c r="B125" s="9"/>
      <c r="C125" s="9"/>
      <c r="D125" s="9"/>
      <c r="E125" s="9"/>
      <c r="F125" s="9"/>
      <c r="G125" s="9"/>
      <c r="H125" s="9"/>
    </row>
    <row r="126" spans="1:8" x14ac:dyDescent="0.35">
      <c r="A126" s="9"/>
      <c r="B126" s="9"/>
      <c r="C126" s="9"/>
      <c r="D126" s="9"/>
      <c r="E126" s="9"/>
      <c r="F126" s="9"/>
      <c r="G126" s="9"/>
      <c r="H126" s="9"/>
    </row>
    <row r="127" spans="1:8" x14ac:dyDescent="0.35">
      <c r="A127" s="9"/>
      <c r="B127" s="9"/>
      <c r="C127" s="9"/>
      <c r="D127" s="9"/>
      <c r="E127" s="9"/>
      <c r="F127" s="9"/>
      <c r="G127" s="9"/>
      <c r="H127" s="9"/>
    </row>
    <row r="128" spans="1:8" x14ac:dyDescent="0.35">
      <c r="A128" s="9"/>
      <c r="B128" s="9"/>
      <c r="C128" s="9"/>
      <c r="D128" s="9"/>
      <c r="E128" s="9"/>
      <c r="F128" s="9"/>
      <c r="G128" s="9"/>
      <c r="H128" s="9"/>
    </row>
    <row r="129" spans="1:8" x14ac:dyDescent="0.35">
      <c r="A129" s="9"/>
      <c r="B129" s="9"/>
      <c r="C129" s="9"/>
      <c r="D129" s="9"/>
      <c r="E129" s="9"/>
      <c r="F129" s="9"/>
      <c r="G129" s="9"/>
      <c r="H129" s="9"/>
    </row>
    <row r="130" spans="1:8" x14ac:dyDescent="0.35">
      <c r="A130" s="9"/>
      <c r="B130" s="9"/>
      <c r="C130" s="9"/>
      <c r="D130" s="9"/>
      <c r="E130" s="9"/>
      <c r="F130" s="9"/>
      <c r="G130" s="9"/>
      <c r="H130" s="9"/>
    </row>
    <row r="131" spans="1:8" x14ac:dyDescent="0.35">
      <c r="A131" s="9"/>
      <c r="B131" s="9"/>
      <c r="C131" s="9"/>
      <c r="D131" s="9"/>
      <c r="E131" s="9"/>
      <c r="F131" s="9"/>
      <c r="G131" s="9"/>
      <c r="H131" s="9"/>
    </row>
    <row r="132" spans="1:8" x14ac:dyDescent="0.35">
      <c r="A132" s="9"/>
      <c r="B132" s="9"/>
      <c r="C132" s="9"/>
      <c r="D132" s="9"/>
      <c r="E132" s="9"/>
      <c r="F132" s="9"/>
      <c r="G132" s="9"/>
      <c r="H132" s="9"/>
    </row>
    <row r="133" spans="1:8" x14ac:dyDescent="0.35">
      <c r="A133" s="9"/>
      <c r="B133" s="9"/>
      <c r="C133" s="9"/>
      <c r="D133" s="9"/>
      <c r="E133" s="9"/>
      <c r="F133" s="9"/>
      <c r="G133" s="9"/>
      <c r="H133" s="9"/>
    </row>
    <row r="134" spans="1:8" x14ac:dyDescent="0.35">
      <c r="A134" s="9"/>
      <c r="B134" s="9"/>
      <c r="C134" s="9"/>
      <c r="D134" s="9"/>
      <c r="E134" s="9"/>
      <c r="F134" s="9"/>
      <c r="G134" s="9"/>
      <c r="H134" s="9"/>
    </row>
    <row r="135" spans="1:8" x14ac:dyDescent="0.35">
      <c r="A135" s="9"/>
      <c r="B135" s="9"/>
      <c r="C135" s="9"/>
      <c r="D135" s="9"/>
      <c r="E135" s="9"/>
      <c r="F135" s="9"/>
      <c r="G135" s="9"/>
      <c r="H135" s="9"/>
    </row>
    <row r="136" spans="1:8" x14ac:dyDescent="0.35">
      <c r="A136" s="9"/>
      <c r="B136" s="9"/>
      <c r="C136" s="9"/>
      <c r="D136" s="9"/>
      <c r="E136" s="9"/>
      <c r="F136" s="9"/>
      <c r="G136" s="9"/>
      <c r="H136" s="9"/>
    </row>
    <row r="137" spans="1:8" x14ac:dyDescent="0.35">
      <c r="A137" s="9"/>
      <c r="B137" s="9"/>
      <c r="C137" s="9"/>
      <c r="D137" s="9"/>
      <c r="E137" s="9"/>
      <c r="F137" s="9"/>
      <c r="G137" s="9"/>
      <c r="H137" s="9"/>
    </row>
    <row r="138" spans="1:8" x14ac:dyDescent="0.35">
      <c r="A138" s="9"/>
      <c r="B138" s="9"/>
      <c r="C138" s="9"/>
      <c r="D138" s="9"/>
      <c r="E138" s="9"/>
      <c r="F138" s="9"/>
      <c r="G138" s="9"/>
      <c r="H138" s="9"/>
    </row>
    <row r="139" spans="1:8" x14ac:dyDescent="0.35">
      <c r="A139" s="9"/>
      <c r="B139" s="9"/>
      <c r="C139" s="9"/>
      <c r="D139" s="9"/>
      <c r="E139" s="9"/>
      <c r="F139" s="9"/>
      <c r="G139" s="9"/>
      <c r="H139" s="9"/>
    </row>
    <row r="140" spans="1:8" x14ac:dyDescent="0.35">
      <c r="A140" s="9"/>
      <c r="B140" s="9"/>
      <c r="C140" s="9"/>
      <c r="D140" s="9"/>
      <c r="E140" s="9"/>
      <c r="F140" s="9"/>
      <c r="G140" s="9"/>
      <c r="H140" s="9"/>
    </row>
    <row r="141" spans="1:8" x14ac:dyDescent="0.35">
      <c r="A141" s="9"/>
      <c r="B141" s="9"/>
      <c r="C141" s="9"/>
      <c r="D141" s="9"/>
      <c r="E141" s="9"/>
      <c r="F141" s="9"/>
      <c r="G141" s="9"/>
      <c r="H141" s="9"/>
    </row>
    <row r="142" spans="1:8" x14ac:dyDescent="0.35">
      <c r="A142" s="9"/>
      <c r="B142" s="9"/>
      <c r="C142" s="9"/>
      <c r="D142" s="9"/>
      <c r="E142" s="9"/>
      <c r="F142" s="9"/>
      <c r="G142" s="9"/>
      <c r="H142" s="9"/>
    </row>
    <row r="143" spans="1:8" x14ac:dyDescent="0.35">
      <c r="A143" s="9"/>
      <c r="B143" s="9"/>
      <c r="C143" s="9"/>
      <c r="D143" s="9"/>
      <c r="E143" s="9"/>
      <c r="F143" s="9"/>
      <c r="G143" s="9"/>
      <c r="H143" s="9"/>
    </row>
    <row r="144" spans="1:8" x14ac:dyDescent="0.35">
      <c r="A144" s="9"/>
      <c r="B144" s="9"/>
      <c r="C144" s="9"/>
      <c r="D144" s="9"/>
      <c r="E144" s="9"/>
      <c r="F144" s="9"/>
      <c r="G144" s="9"/>
      <c r="H144" s="9"/>
    </row>
    <row r="145" spans="1:8" x14ac:dyDescent="0.35">
      <c r="A145" s="9"/>
      <c r="B145" s="9"/>
      <c r="C145" s="9"/>
      <c r="D145" s="9"/>
      <c r="E145" s="9"/>
      <c r="F145" s="9"/>
      <c r="G145" s="9"/>
      <c r="H145" s="9"/>
    </row>
    <row r="146" spans="1:8" x14ac:dyDescent="0.35">
      <c r="A146" s="9"/>
      <c r="B146" s="9"/>
      <c r="C146" s="9"/>
      <c r="D146" s="9"/>
      <c r="E146" s="9"/>
      <c r="F146" s="9"/>
      <c r="G146" s="9"/>
      <c r="H146" s="9"/>
    </row>
    <row r="147" spans="1:8" x14ac:dyDescent="0.35">
      <c r="A147" s="9"/>
      <c r="B147" s="9"/>
      <c r="C147" s="9"/>
      <c r="D147" s="9"/>
      <c r="E147" s="9"/>
      <c r="F147" s="9"/>
      <c r="G147" s="9"/>
      <c r="H147" s="9"/>
    </row>
    <row r="148" spans="1:8" x14ac:dyDescent="0.35">
      <c r="A148" s="9"/>
      <c r="B148" s="9"/>
      <c r="C148" s="9"/>
      <c r="D148" s="9"/>
      <c r="E148" s="9"/>
      <c r="F148" s="9"/>
      <c r="G148" s="9"/>
      <c r="H148" s="9"/>
    </row>
    <row r="149" spans="1:8" x14ac:dyDescent="0.35">
      <c r="A149" s="9"/>
      <c r="B149" s="9"/>
      <c r="C149" s="9"/>
      <c r="D149" s="9"/>
      <c r="E149" s="9"/>
      <c r="F149" s="9"/>
      <c r="G149" s="9"/>
      <c r="H149" s="9"/>
    </row>
    <row r="150" spans="1:8" x14ac:dyDescent="0.35">
      <c r="A150" s="9"/>
      <c r="B150" s="9"/>
      <c r="C150" s="9"/>
      <c r="D150" s="9"/>
      <c r="E150" s="9"/>
      <c r="F150" s="9"/>
      <c r="G150" s="9"/>
      <c r="H150" s="9"/>
    </row>
    <row r="151" spans="1:8" x14ac:dyDescent="0.35">
      <c r="A151" s="9"/>
      <c r="B151" s="9"/>
      <c r="C151" s="9"/>
      <c r="D151" s="9"/>
      <c r="E151" s="9"/>
      <c r="F151" s="9"/>
      <c r="G151" s="9"/>
      <c r="H151" s="9"/>
    </row>
    <row r="152" spans="1:8" x14ac:dyDescent="0.35">
      <c r="A152" s="9"/>
      <c r="B152" s="9"/>
      <c r="C152" s="9"/>
      <c r="D152" s="9"/>
      <c r="E152" s="9"/>
      <c r="F152" s="9"/>
      <c r="G152" s="9"/>
      <c r="H152" s="9"/>
    </row>
    <row r="153" spans="1:8" x14ac:dyDescent="0.35">
      <c r="A153" s="9"/>
      <c r="B153" s="9"/>
      <c r="C153" s="9"/>
      <c r="D153" s="9"/>
      <c r="E153" s="9"/>
      <c r="F153" s="9"/>
      <c r="G153" s="9"/>
      <c r="H153" s="9"/>
    </row>
    <row r="154" spans="1:8" x14ac:dyDescent="0.35">
      <c r="A154" s="9"/>
      <c r="B154" s="9"/>
      <c r="C154" s="9"/>
      <c r="D154" s="9"/>
      <c r="E154" s="9"/>
      <c r="F154" s="9"/>
      <c r="G154" s="9"/>
      <c r="H154" s="9"/>
    </row>
    <row r="155" spans="1:8" x14ac:dyDescent="0.35">
      <c r="A155" s="9"/>
      <c r="B155" s="9"/>
      <c r="C155" s="9"/>
      <c r="D155" s="9"/>
      <c r="E155" s="9"/>
      <c r="F155" s="9"/>
      <c r="G155" s="9"/>
      <c r="H155" s="9"/>
    </row>
    <row r="156" spans="1:8" x14ac:dyDescent="0.35">
      <c r="A156" s="9"/>
      <c r="B156" s="9"/>
      <c r="C156" s="9"/>
      <c r="D156" s="9"/>
      <c r="E156" s="9"/>
      <c r="F156" s="9"/>
      <c r="G156" s="9"/>
      <c r="H156" s="9"/>
    </row>
    <row r="157" spans="1:8" x14ac:dyDescent="0.35">
      <c r="A157" s="9"/>
      <c r="B157" s="9"/>
      <c r="C157" s="9"/>
      <c r="D157" s="9"/>
      <c r="E157" s="9"/>
      <c r="F157" s="9"/>
      <c r="G157" s="9"/>
      <c r="H157" s="9"/>
    </row>
    <row r="158" spans="1:8" x14ac:dyDescent="0.35">
      <c r="A158" s="9"/>
      <c r="B158" s="9"/>
      <c r="C158" s="9"/>
      <c r="D158" s="9"/>
      <c r="E158" s="9"/>
      <c r="F158" s="9"/>
      <c r="G158" s="9"/>
      <c r="H158" s="9"/>
    </row>
    <row r="159" spans="1:8" x14ac:dyDescent="0.35">
      <c r="A159" s="9"/>
      <c r="B159" s="9"/>
      <c r="C159" s="9"/>
      <c r="D159" s="9"/>
      <c r="E159" s="9"/>
      <c r="F159" s="9"/>
      <c r="G159" s="9"/>
      <c r="H159" s="9"/>
    </row>
    <row r="160" spans="1:8" x14ac:dyDescent="0.35">
      <c r="A160" s="9"/>
      <c r="B160" s="9"/>
      <c r="C160" s="9"/>
      <c r="D160" s="9"/>
      <c r="E160" s="9"/>
      <c r="F160" s="9"/>
      <c r="G160" s="9"/>
      <c r="H160" s="9"/>
    </row>
    <row r="161" spans="1:8" x14ac:dyDescent="0.35">
      <c r="A161" s="9"/>
      <c r="B161" s="9"/>
      <c r="C161" s="9"/>
      <c r="D161" s="9"/>
      <c r="E161" s="9"/>
      <c r="F161" s="9"/>
      <c r="G161" s="9"/>
      <c r="H161" s="9"/>
    </row>
    <row r="162" spans="1:8" x14ac:dyDescent="0.35">
      <c r="A162" s="9"/>
      <c r="B162" s="9"/>
      <c r="C162" s="9"/>
      <c r="D162" s="9"/>
      <c r="E162" s="9"/>
      <c r="F162" s="9"/>
      <c r="G162" s="9"/>
      <c r="H162" s="9"/>
    </row>
    <row r="163" spans="1:8" x14ac:dyDescent="0.35">
      <c r="A163" s="9"/>
      <c r="B163" s="9"/>
      <c r="C163" s="9"/>
      <c r="D163" s="9"/>
      <c r="E163" s="9"/>
      <c r="F163" s="9"/>
      <c r="G163" s="9"/>
      <c r="H163" s="9"/>
    </row>
    <row r="164" spans="1:8" x14ac:dyDescent="0.35">
      <c r="A164" s="9"/>
      <c r="B164" s="9"/>
      <c r="C164" s="9"/>
      <c r="D164" s="9"/>
      <c r="E164" s="9"/>
      <c r="F164" s="9"/>
      <c r="G164" s="9"/>
      <c r="H164" s="9"/>
    </row>
    <row r="165" spans="1:8" x14ac:dyDescent="0.35">
      <c r="A165" s="9"/>
      <c r="B165" s="9"/>
      <c r="C165" s="9"/>
      <c r="D165" s="9"/>
      <c r="E165" s="9"/>
      <c r="F165" s="9"/>
      <c r="G165" s="9"/>
      <c r="H165" s="9"/>
    </row>
    <row r="166" spans="1:8" x14ac:dyDescent="0.35">
      <c r="A166" s="9"/>
      <c r="B166" s="9"/>
      <c r="C166" s="9"/>
      <c r="D166" s="9"/>
      <c r="E166" s="9"/>
      <c r="F166" s="9"/>
      <c r="G166" s="9"/>
      <c r="H166" s="9"/>
    </row>
    <row r="167" spans="1:8" x14ac:dyDescent="0.35">
      <c r="A167" s="9"/>
      <c r="B167" s="9"/>
      <c r="C167" s="9"/>
      <c r="D167" s="9"/>
      <c r="E167" s="9"/>
      <c r="F167" s="9"/>
      <c r="G167" s="9"/>
      <c r="H167" s="9"/>
    </row>
    <row r="168" spans="1:8" x14ac:dyDescent="0.35">
      <c r="A168" s="9"/>
      <c r="B168" s="9"/>
      <c r="C168" s="9"/>
      <c r="D168" s="9"/>
      <c r="E168" s="9"/>
      <c r="F168" s="9"/>
      <c r="G168" s="9"/>
      <c r="H168" s="9"/>
    </row>
    <row r="169" spans="1:8" x14ac:dyDescent="0.35">
      <c r="A169" s="9"/>
      <c r="B169" s="9"/>
      <c r="C169" s="9"/>
      <c r="D169" s="9"/>
      <c r="E169" s="9"/>
      <c r="F169" s="9"/>
      <c r="G169" s="9"/>
      <c r="H169" s="9"/>
    </row>
    <row r="170" spans="1:8" x14ac:dyDescent="0.35">
      <c r="A170" s="9"/>
      <c r="B170" s="9"/>
      <c r="C170" s="9"/>
      <c r="D170" s="9"/>
      <c r="E170" s="9"/>
      <c r="F170" s="9"/>
      <c r="G170" s="9"/>
      <c r="H170" s="9"/>
    </row>
    <row r="171" spans="1:8" x14ac:dyDescent="0.35">
      <c r="A171" s="9"/>
      <c r="B171" s="9"/>
      <c r="C171" s="9"/>
      <c r="D171" s="9"/>
      <c r="E171" s="9"/>
      <c r="F171" s="9"/>
      <c r="G171" s="9"/>
      <c r="H171" s="9"/>
    </row>
    <row r="172" spans="1:8" x14ac:dyDescent="0.35">
      <c r="A172" s="9"/>
      <c r="B172" s="9"/>
      <c r="C172" s="9"/>
      <c r="D172" s="9"/>
      <c r="E172" s="9"/>
      <c r="F172" s="9"/>
      <c r="G172" s="9"/>
      <c r="H172" s="9"/>
    </row>
    <row r="173" spans="1:8" x14ac:dyDescent="0.35">
      <c r="A173" s="9"/>
      <c r="B173" s="9"/>
      <c r="C173" s="9"/>
      <c r="D173" s="9"/>
      <c r="E173" s="9"/>
      <c r="F173" s="9"/>
      <c r="G173" s="9"/>
      <c r="H173" s="9"/>
    </row>
    <row r="174" spans="1:8" x14ac:dyDescent="0.35">
      <c r="A174" s="9"/>
      <c r="B174" s="9"/>
      <c r="C174" s="9"/>
      <c r="D174" s="9"/>
      <c r="E174" s="9"/>
      <c r="F174" s="9"/>
      <c r="G174" s="9"/>
      <c r="H174" s="9"/>
    </row>
    <row r="175" spans="1:8" x14ac:dyDescent="0.35">
      <c r="A175" s="9"/>
      <c r="B175" s="9"/>
      <c r="C175" s="9"/>
      <c r="D175" s="9"/>
      <c r="E175" s="9"/>
      <c r="F175" s="9"/>
      <c r="G175" s="9"/>
      <c r="H175" s="9"/>
    </row>
    <row r="176" spans="1:8" x14ac:dyDescent="0.35">
      <c r="A176" s="9"/>
      <c r="B176" s="9"/>
      <c r="C176" s="9"/>
      <c r="D176" s="9"/>
      <c r="E176" s="9"/>
      <c r="F176" s="9"/>
      <c r="G176" s="9"/>
      <c r="H176" s="9"/>
    </row>
    <row r="177" spans="1:8" x14ac:dyDescent="0.35">
      <c r="A177" s="9"/>
      <c r="B177" s="9"/>
      <c r="C177" s="9"/>
      <c r="D177" s="9"/>
      <c r="E177" s="9"/>
      <c r="F177" s="9"/>
      <c r="G177" s="9"/>
      <c r="H177" s="9"/>
    </row>
    <row r="178" spans="1:8" x14ac:dyDescent="0.35">
      <c r="A178" s="9"/>
      <c r="B178" s="9"/>
      <c r="C178" s="9"/>
      <c r="D178" s="9"/>
      <c r="E178" s="9"/>
      <c r="F178" s="9"/>
      <c r="G178" s="9"/>
      <c r="H178" s="9"/>
    </row>
    <row r="179" spans="1:8" x14ac:dyDescent="0.35">
      <c r="A179" s="9"/>
      <c r="B179" s="9"/>
      <c r="C179" s="9"/>
      <c r="D179" s="9"/>
      <c r="E179" s="9"/>
      <c r="F179" s="9"/>
      <c r="G179" s="9"/>
      <c r="H179" s="9"/>
    </row>
    <row r="180" spans="1:8" x14ac:dyDescent="0.35">
      <c r="A180" s="9"/>
      <c r="B180" s="9"/>
      <c r="C180" s="9"/>
      <c r="D180" s="9"/>
      <c r="E180" s="9"/>
      <c r="F180" s="9"/>
      <c r="G180" s="9"/>
      <c r="H180" s="9"/>
    </row>
    <row r="181" spans="1:8" x14ac:dyDescent="0.35">
      <c r="A181" s="9"/>
      <c r="B181" s="9"/>
      <c r="C181" s="9"/>
      <c r="D181" s="9"/>
      <c r="E181" s="9"/>
      <c r="F181" s="9"/>
      <c r="G181" s="9"/>
      <c r="H181" s="9"/>
    </row>
    <row r="182" spans="1:8" x14ac:dyDescent="0.35">
      <c r="A182" s="9"/>
      <c r="B182" s="9"/>
      <c r="C182" s="9"/>
      <c r="D182" s="9"/>
      <c r="E182" s="9"/>
      <c r="F182" s="9"/>
      <c r="G182" s="9"/>
      <c r="H182" s="9"/>
    </row>
    <row r="183" spans="1:8" x14ac:dyDescent="0.35">
      <c r="A183" s="9"/>
      <c r="B183" s="9"/>
      <c r="C183" s="9"/>
      <c r="D183" s="9"/>
      <c r="E183" s="9"/>
      <c r="F183" s="9"/>
      <c r="G183" s="9"/>
      <c r="H183" s="9"/>
    </row>
    <row r="184" spans="1:8" x14ac:dyDescent="0.35">
      <c r="A184" s="9"/>
      <c r="B184" s="9"/>
      <c r="C184" s="9"/>
      <c r="D184" s="9"/>
      <c r="E184" s="9"/>
      <c r="F184" s="9"/>
      <c r="G184" s="9"/>
      <c r="H184" s="9"/>
    </row>
    <row r="185" spans="1:8" x14ac:dyDescent="0.35">
      <c r="A185" s="9"/>
      <c r="B185" s="9"/>
      <c r="C185" s="9"/>
      <c r="D185" s="9"/>
      <c r="E185" s="9"/>
      <c r="F185" s="9"/>
      <c r="G185" s="9"/>
      <c r="H185" s="9"/>
    </row>
    <row r="186" spans="1:8" x14ac:dyDescent="0.35">
      <c r="A186" s="9"/>
      <c r="B186" s="9"/>
      <c r="C186" s="9"/>
      <c r="D186" s="9"/>
      <c r="E186" s="9"/>
      <c r="F186" s="9"/>
      <c r="G186" s="9"/>
      <c r="H186" s="9"/>
    </row>
    <row r="187" spans="1:8" x14ac:dyDescent="0.35">
      <c r="A187" s="9"/>
      <c r="B187" s="9"/>
      <c r="C187" s="9"/>
      <c r="D187" s="9"/>
      <c r="E187" s="9"/>
      <c r="F187" s="9"/>
      <c r="G187" s="9"/>
      <c r="H187" s="9"/>
    </row>
    <row r="188" spans="1:8" x14ac:dyDescent="0.35">
      <c r="A188" s="9"/>
      <c r="B188" s="9"/>
      <c r="C188" s="9"/>
      <c r="D188" s="9"/>
      <c r="E188" s="9"/>
      <c r="F188" s="9"/>
      <c r="G188" s="9"/>
      <c r="H188" s="9"/>
    </row>
    <row r="189" spans="1:8" x14ac:dyDescent="0.35">
      <c r="A189" s="9"/>
      <c r="B189" s="9"/>
      <c r="C189" s="9"/>
      <c r="D189" s="9"/>
      <c r="E189" s="9"/>
      <c r="F189" s="9"/>
      <c r="G189" s="9"/>
      <c r="H189" s="9"/>
    </row>
    <row r="190" spans="1:8" x14ac:dyDescent="0.35">
      <c r="A190" s="9"/>
      <c r="B190" s="9"/>
      <c r="C190" s="9"/>
      <c r="D190" s="9"/>
      <c r="E190" s="9"/>
      <c r="F190" s="9"/>
      <c r="G190" s="9"/>
      <c r="H190" s="9"/>
    </row>
    <row r="191" spans="1:8" x14ac:dyDescent="0.35">
      <c r="A191" s="9"/>
      <c r="B191" s="9"/>
      <c r="C191" s="9"/>
      <c r="D191" s="9"/>
      <c r="E191" s="9"/>
      <c r="F191" s="9"/>
      <c r="G191" s="9"/>
      <c r="H191" s="9"/>
    </row>
    <row r="192" spans="1:8" x14ac:dyDescent="0.35">
      <c r="A192" s="9"/>
      <c r="B192" s="9"/>
      <c r="C192" s="9"/>
      <c r="D192" s="9"/>
      <c r="E192" s="9"/>
      <c r="F192" s="9"/>
      <c r="G192" s="9"/>
      <c r="H192" s="9"/>
    </row>
    <row r="193" spans="1:8" x14ac:dyDescent="0.35">
      <c r="A193" s="9"/>
      <c r="B193" s="9"/>
      <c r="C193" s="9"/>
      <c r="D193" s="9"/>
      <c r="E193" s="9"/>
      <c r="F193" s="9"/>
      <c r="G193" s="9"/>
      <c r="H193" s="9"/>
    </row>
    <row r="194" spans="1:8" x14ac:dyDescent="0.35">
      <c r="A194" s="9"/>
      <c r="B194" s="9"/>
      <c r="C194" s="9"/>
      <c r="D194" s="9"/>
      <c r="E194" s="9"/>
      <c r="F194" s="9"/>
      <c r="G194" s="9"/>
      <c r="H194" s="9"/>
    </row>
    <row r="195" spans="1:8" x14ac:dyDescent="0.35">
      <c r="A195" s="9"/>
      <c r="B195" s="9"/>
      <c r="C195" s="9"/>
      <c r="D195" s="9"/>
      <c r="E195" s="9"/>
      <c r="F195" s="9"/>
      <c r="G195" s="9"/>
      <c r="H195" s="9"/>
    </row>
    <row r="196" spans="1:8" x14ac:dyDescent="0.35">
      <c r="A196" s="9"/>
      <c r="B196" s="9"/>
      <c r="C196" s="9"/>
      <c r="D196" s="9"/>
      <c r="E196" s="9"/>
      <c r="F196" s="9"/>
      <c r="G196" s="9"/>
      <c r="H196" s="9"/>
    </row>
    <row r="197" spans="1:8" x14ac:dyDescent="0.35">
      <c r="A197" s="9"/>
      <c r="B197" s="9"/>
      <c r="C197" s="9"/>
      <c r="D197" s="9"/>
      <c r="E197" s="9"/>
      <c r="F197" s="9"/>
      <c r="G197" s="9"/>
      <c r="H197" s="9"/>
    </row>
    <row r="198" spans="1:8" x14ac:dyDescent="0.35">
      <c r="A198" s="9"/>
      <c r="B198" s="9"/>
      <c r="C198" s="9"/>
      <c r="D198" s="9"/>
      <c r="E198" s="9"/>
      <c r="F198" s="9"/>
      <c r="G198" s="9"/>
      <c r="H198" s="9"/>
    </row>
    <row r="199" spans="1:8" x14ac:dyDescent="0.35">
      <c r="A199" s="9"/>
      <c r="B199" s="9"/>
      <c r="C199" s="9"/>
      <c r="D199" s="9"/>
      <c r="E199" s="9"/>
      <c r="F199" s="9"/>
      <c r="G199" s="9"/>
      <c r="H199" s="9"/>
    </row>
    <row r="200" spans="1:8" x14ac:dyDescent="0.35">
      <c r="A200" s="9"/>
      <c r="B200" s="9"/>
      <c r="C200" s="9"/>
      <c r="D200" s="9"/>
      <c r="E200" s="9"/>
      <c r="F200" s="9"/>
      <c r="G200" s="9"/>
      <c r="H200" s="9"/>
    </row>
    <row r="201" spans="1:8" x14ac:dyDescent="0.35">
      <c r="A201" s="9"/>
      <c r="B201" s="9"/>
      <c r="C201" s="9"/>
      <c r="D201" s="9"/>
      <c r="E201" s="9"/>
      <c r="F201" s="9"/>
      <c r="G201" s="9"/>
      <c r="H201" s="9"/>
    </row>
  </sheetData>
  <autoFilter ref="A1:H201" xr:uid="{00000000-0009-0000-0000-000009000000}"/>
  <dataValidations count="1">
    <dataValidation type="list" allowBlank="1" errorTitle="Valor inválido" error="Digite somente 0 ou 1." promptTitle="Resultado da tentativa" prompt="1 = detectou; 0 = não detectou." sqref="F2:F201" xr:uid="{00000000-0002-0000-0900-000000000000}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LEIA_ME</vt:lpstr>
      <vt:lpstr>PLANO_DO_DIA</vt:lpstr>
      <vt:lpstr>Resumo</vt:lpstr>
      <vt:lpstr>Configuracao</vt:lpstr>
      <vt:lpstr>Tags</vt:lpstr>
      <vt:lpstr>Alcance</vt:lpstr>
      <vt:lpstr>Orientacao</vt:lpstr>
      <vt:lpstr>Material</vt:lpstr>
      <vt:lpstr>Inventario</vt:lpstr>
      <vt:lpstr>Log_Serial_Opcional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Coleta experimental mínima RFID UHF</dc:title>
  <dc:subject>Planilha vazia para medições físicas do PG2</dc:subject>
  <dc:creator>Projeto de Graduação 2</dc:creator>
  <dc:description>Protocolo reduzido: alcance, orientação, material e inventário. Nenhum resultado experimental pré-preenchido.</dc:description>
  <cp:lastModifiedBy>Leonardo Teixeira</cp:lastModifiedBy>
  <dcterms:created xsi:type="dcterms:W3CDTF">2026-07-13T00:13:35Z</dcterms:created>
  <dcterms:modified xsi:type="dcterms:W3CDTF">2026-07-13T17:37:20Z</dcterms:modified>
</cp:coreProperties>
</file>