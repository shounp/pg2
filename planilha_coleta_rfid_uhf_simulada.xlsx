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ona\OneDrive\Área de Trabalho\Repositories\pg2\"/>
    </mc:Choice>
  </mc:AlternateContent>
  <xr:revisionPtr revIDLastSave="0" documentId="13_ncr:1_{A453E54B-907B-487A-AEC2-7DD47FDD54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Analise_Erro" sheetId="2" r:id="rId2"/>
    <sheet name="Configuracao" sheetId="3" r:id="rId3"/>
    <sheet name="Tags_por_Altura" sheetId="4" r:id="rId4"/>
    <sheet name="Alcance_Altura_Dist" sheetId="5" r:id="rId5"/>
    <sheet name="Orientacao" sheetId="6" r:id="rId6"/>
    <sheet name="Material" sheetId="7" r:id="rId7"/>
    <sheet name="Inventario_Sala" sheetId="8" r:id="rId8"/>
    <sheet name="Passagem" sheetId="9" r:id="rId9"/>
    <sheet name="Dados_Brut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9" l="1"/>
  <c r="G61" i="9"/>
  <c r="K60" i="9"/>
  <c r="G60" i="9"/>
  <c r="K59" i="9"/>
  <c r="G59" i="9"/>
  <c r="K58" i="9"/>
  <c r="G58" i="9"/>
  <c r="K57" i="9"/>
  <c r="G57" i="9"/>
  <c r="K56" i="9"/>
  <c r="G56" i="9"/>
  <c r="K55" i="9"/>
  <c r="G55" i="9"/>
  <c r="K54" i="9"/>
  <c r="G54" i="9"/>
  <c r="K53" i="9"/>
  <c r="G53" i="9"/>
  <c r="K52" i="9"/>
  <c r="G52" i="9"/>
  <c r="K51" i="9"/>
  <c r="G51" i="9"/>
  <c r="K50" i="9"/>
  <c r="G50" i="9"/>
  <c r="K49" i="9"/>
  <c r="G49" i="9"/>
  <c r="K48" i="9"/>
  <c r="G48" i="9"/>
  <c r="K47" i="9"/>
  <c r="G47" i="9"/>
  <c r="K46" i="9"/>
  <c r="G46" i="9"/>
  <c r="K45" i="9"/>
  <c r="G45" i="9"/>
  <c r="K44" i="9"/>
  <c r="G44" i="9"/>
  <c r="K43" i="9"/>
  <c r="G43" i="9"/>
  <c r="K42" i="9"/>
  <c r="G42" i="9"/>
  <c r="K41" i="9"/>
  <c r="G41" i="9"/>
  <c r="K40" i="9"/>
  <c r="G40" i="9"/>
  <c r="K39" i="9"/>
  <c r="G39" i="9"/>
  <c r="K38" i="9"/>
  <c r="G38" i="9"/>
  <c r="K37" i="9"/>
  <c r="G37" i="9"/>
  <c r="K36" i="9"/>
  <c r="G36" i="9"/>
  <c r="K35" i="9"/>
  <c r="G35" i="9"/>
  <c r="K34" i="9"/>
  <c r="G34" i="9"/>
  <c r="K33" i="9"/>
  <c r="G33" i="9"/>
  <c r="K32" i="9"/>
  <c r="G32" i="9"/>
  <c r="K31" i="9"/>
  <c r="G31" i="9"/>
  <c r="K30" i="9"/>
  <c r="G30" i="9"/>
  <c r="K29" i="9"/>
  <c r="G29" i="9"/>
  <c r="K28" i="9"/>
  <c r="G28" i="9"/>
  <c r="K27" i="9"/>
  <c r="G27" i="9"/>
  <c r="K26" i="9"/>
  <c r="G26" i="9"/>
  <c r="K25" i="9"/>
  <c r="G25" i="9"/>
  <c r="K24" i="9"/>
  <c r="G24" i="9"/>
  <c r="K23" i="9"/>
  <c r="G23" i="9"/>
  <c r="K22" i="9"/>
  <c r="G22" i="9"/>
  <c r="K21" i="9"/>
  <c r="G21" i="9"/>
  <c r="K20" i="9"/>
  <c r="G20" i="9"/>
  <c r="K19" i="9"/>
  <c r="G19" i="9"/>
  <c r="K18" i="9"/>
  <c r="G18" i="9"/>
  <c r="K17" i="9"/>
  <c r="G17" i="9"/>
  <c r="K16" i="9"/>
  <c r="G16" i="9"/>
  <c r="K15" i="9"/>
  <c r="G15" i="9"/>
  <c r="K14" i="9"/>
  <c r="G14" i="9"/>
  <c r="K13" i="9"/>
  <c r="G13" i="9"/>
  <c r="K12" i="9"/>
  <c r="G12" i="9"/>
  <c r="K11" i="9"/>
  <c r="G11" i="9"/>
  <c r="K10" i="9"/>
  <c r="G10" i="9"/>
  <c r="K9" i="9"/>
  <c r="G9" i="9"/>
  <c r="K8" i="9"/>
  <c r="G8" i="9"/>
  <c r="K7" i="9"/>
  <c r="G7" i="9"/>
  <c r="K6" i="9"/>
  <c r="G6" i="9"/>
  <c r="K5" i="9"/>
  <c r="G5" i="9"/>
  <c r="K4" i="9"/>
  <c r="G4" i="9"/>
  <c r="K3" i="9"/>
  <c r="G3" i="9"/>
  <c r="K2" i="9"/>
  <c r="G2" i="9"/>
  <c r="M11" i="8"/>
  <c r="F11" i="8"/>
  <c r="M10" i="8"/>
  <c r="F10" i="8"/>
  <c r="M9" i="8"/>
  <c r="F9" i="8"/>
  <c r="M8" i="8"/>
  <c r="F8" i="8"/>
  <c r="M7" i="8"/>
  <c r="F7" i="8"/>
  <c r="M6" i="8"/>
  <c r="F6" i="8"/>
  <c r="M5" i="8"/>
  <c r="F5" i="8"/>
  <c r="M4" i="8"/>
  <c r="F4" i="8"/>
  <c r="M3" i="8"/>
  <c r="F3" i="8"/>
  <c r="M2" i="8"/>
  <c r="F2" i="8"/>
  <c r="M7" i="7"/>
  <c r="I7" i="7"/>
  <c r="M6" i="7"/>
  <c r="I6" i="7"/>
  <c r="M5" i="7"/>
  <c r="I5" i="7"/>
  <c r="M4" i="7"/>
  <c r="I4" i="7"/>
  <c r="M3" i="7"/>
  <c r="I3" i="7"/>
  <c r="M2" i="7"/>
  <c r="I2" i="7"/>
  <c r="L46" i="6"/>
  <c r="H46" i="6"/>
  <c r="L45" i="6"/>
  <c r="H45" i="6"/>
  <c r="L44" i="6"/>
  <c r="H44" i="6"/>
  <c r="L43" i="6"/>
  <c r="H43" i="6"/>
  <c r="L42" i="6"/>
  <c r="H42" i="6"/>
  <c r="L41" i="6"/>
  <c r="H41" i="6"/>
  <c r="L40" i="6"/>
  <c r="H40" i="6"/>
  <c r="L39" i="6"/>
  <c r="H39" i="6"/>
  <c r="L38" i="6"/>
  <c r="H38" i="6"/>
  <c r="L37" i="6"/>
  <c r="H37" i="6"/>
  <c r="L36" i="6"/>
  <c r="H36" i="6"/>
  <c r="L35" i="6"/>
  <c r="H35" i="6"/>
  <c r="L34" i="6"/>
  <c r="H34" i="6"/>
  <c r="L33" i="6"/>
  <c r="H33" i="6"/>
  <c r="L32" i="6"/>
  <c r="H32" i="6"/>
  <c r="L31" i="6"/>
  <c r="H31" i="6"/>
  <c r="L30" i="6"/>
  <c r="H30" i="6"/>
  <c r="L29" i="6"/>
  <c r="H29" i="6"/>
  <c r="L28" i="6"/>
  <c r="H28" i="6"/>
  <c r="L27" i="6"/>
  <c r="H27" i="6"/>
  <c r="L26" i="6"/>
  <c r="H26" i="6"/>
  <c r="L25" i="6"/>
  <c r="H25" i="6"/>
  <c r="L24" i="6"/>
  <c r="H24" i="6"/>
  <c r="L23" i="6"/>
  <c r="H23" i="6"/>
  <c r="L22" i="6"/>
  <c r="H22" i="6"/>
  <c r="L21" i="6"/>
  <c r="H21" i="6"/>
  <c r="L20" i="6"/>
  <c r="H20" i="6"/>
  <c r="L19" i="6"/>
  <c r="H19" i="6"/>
  <c r="L18" i="6"/>
  <c r="H18" i="6"/>
  <c r="L17" i="6"/>
  <c r="H17" i="6"/>
  <c r="L16" i="6"/>
  <c r="H16" i="6"/>
  <c r="L15" i="6"/>
  <c r="H15" i="6"/>
  <c r="L14" i="6"/>
  <c r="H14" i="6"/>
  <c r="L13" i="6"/>
  <c r="H13" i="6"/>
  <c r="L12" i="6"/>
  <c r="H12" i="6"/>
  <c r="L11" i="6"/>
  <c r="H11" i="6"/>
  <c r="L10" i="6"/>
  <c r="H10" i="6"/>
  <c r="L9" i="6"/>
  <c r="H9" i="6"/>
  <c r="L8" i="6"/>
  <c r="H8" i="6"/>
  <c r="L7" i="6"/>
  <c r="H7" i="6"/>
  <c r="L6" i="6"/>
  <c r="H6" i="6"/>
  <c r="L5" i="6"/>
  <c r="H5" i="6"/>
  <c r="L4" i="6"/>
  <c r="H4" i="6"/>
  <c r="L3" i="6"/>
  <c r="H3" i="6"/>
  <c r="L2" i="6"/>
  <c r="H2" i="6"/>
  <c r="O121" i="5"/>
  <c r="G121" i="5"/>
  <c r="O120" i="5"/>
  <c r="G120" i="5"/>
  <c r="O119" i="5"/>
  <c r="G119" i="5"/>
  <c r="O118" i="5"/>
  <c r="G118" i="5"/>
  <c r="O117" i="5"/>
  <c r="G117" i="5"/>
  <c r="O116" i="5"/>
  <c r="G116" i="5"/>
  <c r="O115" i="5"/>
  <c r="G115" i="5"/>
  <c r="O114" i="5"/>
  <c r="G114" i="5"/>
  <c r="O113" i="5"/>
  <c r="G113" i="5"/>
  <c r="O112" i="5"/>
  <c r="G112" i="5"/>
  <c r="O111" i="5"/>
  <c r="G111" i="5"/>
  <c r="O110" i="5"/>
  <c r="G110" i="5"/>
  <c r="O109" i="5"/>
  <c r="G109" i="5"/>
  <c r="O108" i="5"/>
  <c r="G108" i="5"/>
  <c r="O107" i="5"/>
  <c r="G107" i="5"/>
  <c r="O106" i="5"/>
  <c r="G106" i="5"/>
  <c r="O105" i="5"/>
  <c r="G105" i="5"/>
  <c r="O104" i="5"/>
  <c r="G104" i="5"/>
  <c r="O103" i="5"/>
  <c r="G103" i="5"/>
  <c r="O102" i="5"/>
  <c r="G102" i="5"/>
  <c r="O101" i="5"/>
  <c r="G101" i="5"/>
  <c r="O100" i="5"/>
  <c r="G100" i="5"/>
  <c r="O99" i="5"/>
  <c r="G99" i="5"/>
  <c r="O98" i="5"/>
  <c r="G98" i="5"/>
  <c r="O97" i="5"/>
  <c r="G97" i="5"/>
  <c r="O96" i="5"/>
  <c r="G96" i="5"/>
  <c r="O95" i="5"/>
  <c r="G95" i="5"/>
  <c r="O94" i="5"/>
  <c r="G94" i="5"/>
  <c r="O93" i="5"/>
  <c r="G93" i="5"/>
  <c r="O92" i="5"/>
  <c r="G92" i="5"/>
  <c r="O91" i="5"/>
  <c r="G91" i="5"/>
  <c r="O90" i="5"/>
  <c r="G90" i="5"/>
  <c r="O89" i="5"/>
  <c r="G89" i="5"/>
  <c r="O88" i="5"/>
  <c r="G88" i="5"/>
  <c r="O87" i="5"/>
  <c r="G87" i="5"/>
  <c r="O86" i="5"/>
  <c r="G86" i="5"/>
  <c r="O85" i="5"/>
  <c r="G85" i="5"/>
  <c r="O84" i="5"/>
  <c r="G84" i="5"/>
  <c r="O83" i="5"/>
  <c r="G83" i="5"/>
  <c r="O82" i="5"/>
  <c r="G82" i="5"/>
  <c r="O81" i="5"/>
  <c r="G81" i="5"/>
  <c r="O80" i="5"/>
  <c r="G80" i="5"/>
  <c r="O79" i="5"/>
  <c r="G79" i="5"/>
  <c r="O78" i="5"/>
  <c r="G78" i="5"/>
  <c r="O77" i="5"/>
  <c r="G77" i="5"/>
  <c r="O76" i="5"/>
  <c r="G76" i="5"/>
  <c r="O75" i="5"/>
  <c r="G75" i="5"/>
  <c r="O74" i="5"/>
  <c r="G74" i="5"/>
  <c r="O73" i="5"/>
  <c r="G73" i="5"/>
  <c r="O72" i="5"/>
  <c r="G72" i="5"/>
  <c r="O71" i="5"/>
  <c r="G71" i="5"/>
  <c r="O70" i="5"/>
  <c r="G70" i="5"/>
  <c r="O69" i="5"/>
  <c r="G69" i="5"/>
  <c r="O68" i="5"/>
  <c r="G68" i="5"/>
  <c r="O67" i="5"/>
  <c r="G67" i="5"/>
  <c r="O66" i="5"/>
  <c r="G66" i="5"/>
  <c r="O65" i="5"/>
  <c r="G65" i="5"/>
  <c r="O64" i="5"/>
  <c r="G64" i="5"/>
  <c r="O63" i="5"/>
  <c r="G63" i="5"/>
  <c r="O62" i="5"/>
  <c r="G62" i="5"/>
  <c r="O61" i="5"/>
  <c r="G61" i="5"/>
  <c r="O60" i="5"/>
  <c r="G60" i="5"/>
  <c r="O59" i="5"/>
  <c r="G59" i="5"/>
  <c r="O58" i="5"/>
  <c r="G58" i="5"/>
  <c r="O57" i="5"/>
  <c r="G57" i="5"/>
  <c r="O56" i="5"/>
  <c r="G56" i="5"/>
  <c r="O55" i="5"/>
  <c r="G55" i="5"/>
  <c r="O54" i="5"/>
  <c r="G54" i="5"/>
  <c r="O53" i="5"/>
  <c r="G53" i="5"/>
  <c r="O52" i="5"/>
  <c r="G52" i="5"/>
  <c r="O51" i="5"/>
  <c r="G51" i="5"/>
  <c r="O50" i="5"/>
  <c r="G50" i="5"/>
  <c r="O49" i="5"/>
  <c r="G49" i="5"/>
  <c r="O48" i="5"/>
  <c r="G48" i="5"/>
  <c r="O47" i="5"/>
  <c r="G47" i="5"/>
  <c r="O46" i="5"/>
  <c r="G46" i="5"/>
  <c r="O45" i="5"/>
  <c r="G45" i="5"/>
  <c r="O44" i="5"/>
  <c r="G44" i="5"/>
  <c r="O43" i="5"/>
  <c r="G43" i="5"/>
  <c r="O42" i="5"/>
  <c r="G42" i="5"/>
  <c r="O41" i="5"/>
  <c r="G41" i="5"/>
  <c r="O40" i="5"/>
  <c r="G40" i="5"/>
  <c r="O39" i="5"/>
  <c r="G39" i="5"/>
  <c r="O38" i="5"/>
  <c r="G38" i="5"/>
  <c r="O37" i="5"/>
  <c r="G37" i="5"/>
  <c r="O36" i="5"/>
  <c r="G36" i="5"/>
  <c r="O35" i="5"/>
  <c r="G35" i="5"/>
  <c r="O34" i="5"/>
  <c r="G34" i="5"/>
  <c r="O33" i="5"/>
  <c r="G33" i="5"/>
  <c r="O32" i="5"/>
  <c r="G32" i="5"/>
  <c r="O31" i="5"/>
  <c r="G31" i="5"/>
  <c r="O30" i="5"/>
  <c r="G30" i="5"/>
  <c r="O29" i="5"/>
  <c r="G29" i="5"/>
  <c r="O28" i="5"/>
  <c r="G28" i="5"/>
  <c r="O27" i="5"/>
  <c r="G27" i="5"/>
  <c r="O26" i="5"/>
  <c r="G26" i="5"/>
  <c r="O25" i="5"/>
  <c r="G25" i="5"/>
  <c r="O24" i="5"/>
  <c r="G24" i="5"/>
  <c r="O23" i="5"/>
  <c r="G23" i="5"/>
  <c r="O22" i="5"/>
  <c r="G22" i="5"/>
  <c r="O21" i="5"/>
  <c r="G21" i="5"/>
  <c r="O20" i="5"/>
  <c r="G20" i="5"/>
  <c r="O19" i="5"/>
  <c r="G19" i="5"/>
  <c r="O18" i="5"/>
  <c r="G18" i="5"/>
  <c r="O17" i="5"/>
  <c r="G17" i="5"/>
  <c r="O16" i="5"/>
  <c r="G16" i="5"/>
  <c r="O15" i="5"/>
  <c r="G15" i="5"/>
  <c r="O14" i="5"/>
  <c r="G14" i="5"/>
  <c r="O13" i="5"/>
  <c r="G13" i="5"/>
  <c r="O12" i="5"/>
  <c r="G12" i="5"/>
  <c r="O11" i="5"/>
  <c r="G11" i="5"/>
  <c r="O10" i="5"/>
  <c r="G10" i="5"/>
  <c r="O9" i="5"/>
  <c r="G9" i="5"/>
  <c r="O8" i="5"/>
  <c r="G8" i="5"/>
  <c r="O7" i="5"/>
  <c r="G7" i="5"/>
  <c r="O6" i="5"/>
  <c r="G6" i="5"/>
  <c r="O5" i="5"/>
  <c r="G5" i="5"/>
  <c r="O4" i="5"/>
  <c r="G4" i="5"/>
  <c r="O3" i="5"/>
  <c r="G3" i="5"/>
  <c r="O2" i="5"/>
  <c r="G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Analise reprodutivel</author>
  </authors>
  <commentList>
    <comment ref="N1" authorId="0" shapeId="0" xr:uid="{00000000-0006-0000-0400-000001000000}">
      <text>
        <r>
          <rPr>
            <sz val="11"/>
            <color theme="1"/>
            <rFont val="Calibri"/>
          </rPr>
          <t>Coluna derivada pelo script adicionar_analise_erro_rfid.py; as contagens originais foram preservadas.</t>
        </r>
      </text>
    </comment>
    <comment ref="O1" authorId="0" shapeId="0" xr:uid="{00000000-0006-0000-0400-000002000000}">
      <text>
        <r>
          <rPr>
            <sz val="11"/>
            <color theme="1"/>
            <rFont val="Calibri"/>
          </rPr>
          <t>Coluna derivada pelo script adicionar_analise_erro_rfid.py; as contagens originais foram preservadas.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Analise reprodutivel</author>
  </authors>
  <commentList>
    <comment ref="K1" authorId="0" shapeId="0" xr:uid="{00000000-0006-0000-0500-000001000000}">
      <text>
        <r>
          <rPr>
            <sz val="11"/>
            <color theme="1"/>
            <rFont val="Calibri"/>
          </rPr>
          <t>Coluna derivada pelo script adicionar_analise_erro_rfid.py; as contagens originais foram preservadas.</t>
        </r>
      </text>
    </comment>
    <comment ref="L1" authorId="0" shapeId="0" xr:uid="{00000000-0006-0000-0500-000002000000}">
      <text>
        <r>
          <rPr>
            <sz val="11"/>
            <color theme="1"/>
            <rFont val="Calibri"/>
          </rPr>
          <t>Coluna derivada pelo script adicionar_analise_erro_rfid.py; as contagens originais foram preservadas.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Analise reprodutivel</author>
  </authors>
  <commentList>
    <comment ref="L1" authorId="0" shapeId="0" xr:uid="{00000000-0006-0000-0600-000001000000}">
      <text>
        <r>
          <rPr>
            <sz val="11"/>
            <color theme="1"/>
            <rFont val="Calibri"/>
          </rPr>
          <t>Coluna derivada pelo script adicionar_analise_erro_rfid.py; as contagens originais foram preservadas.</t>
        </r>
      </text>
    </comment>
    <comment ref="M1" authorId="0" shapeId="0" xr:uid="{00000000-0006-0000-0600-000002000000}">
      <text>
        <r>
          <rPr>
            <sz val="11"/>
            <color theme="1"/>
            <rFont val="Calibri"/>
          </rPr>
          <t>Coluna derivada pelo script adicionar_analise_erro_rfid.py; as contagens originais foram preservadas.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Analise reprodutivel</author>
  </authors>
  <commentList>
    <comment ref="L1" authorId="0" shapeId="0" xr:uid="{00000000-0006-0000-0700-000001000000}">
      <text>
        <r>
          <rPr>
            <sz val="11"/>
            <color theme="1"/>
            <rFont val="Calibri"/>
          </rPr>
          <t>Coluna derivada pelo script adicionar_analise_erro_rfid.py; as contagens originais foram preservadas.</t>
        </r>
      </text>
    </comment>
    <comment ref="M1" authorId="0" shapeId="0" xr:uid="{00000000-0006-0000-0700-000002000000}">
      <text>
        <r>
          <rPr>
            <sz val="11"/>
            <color theme="1"/>
            <rFont val="Calibri"/>
          </rPr>
          <t>Coluna derivada pelo script adicionar_analise_erro_rfid.py; as contagens originais foram preservadas.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Analise reprodutivel</author>
  </authors>
  <commentList>
    <comment ref="J1" authorId="0" shapeId="0" xr:uid="{00000000-0006-0000-0800-000001000000}">
      <text>
        <r>
          <rPr>
            <sz val="11"/>
            <color theme="1"/>
            <rFont val="Calibri"/>
          </rPr>
          <t>Coluna derivada pelo script adicionar_analise_erro_rfid.py; as contagens originais foram preservadas.</t>
        </r>
      </text>
    </comment>
    <comment ref="K1" authorId="0" shapeId="0" xr:uid="{00000000-0006-0000-0800-000002000000}">
      <text>
        <r>
          <rPr>
            <sz val="11"/>
            <color theme="1"/>
            <rFont val="Calibri"/>
          </rPr>
          <t>Coluna derivada pelo script adicionar_analise_erro_rfid.py; as contagens originais foram preservadas.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Analise reprodutivel</author>
  </authors>
  <commentList>
    <comment ref="O1" authorId="0" shapeId="0" xr:uid="{00000000-0006-0000-0900-000001000000}">
      <text>
        <r>
          <rPr>
            <sz val="11"/>
            <color theme="1"/>
            <rFont val="Calibri"/>
          </rPr>
          <t>Complemento de leitura_valida_0_1: 1 indica tentativa sem leitura valida. Coluna derivada; o registro original nao foi alterado.</t>
        </r>
      </text>
    </comment>
  </commentList>
</comments>
</file>

<file path=xl/sharedStrings.xml><?xml version="1.0" encoding="utf-8"?>
<sst xmlns="http://schemas.openxmlformats.org/spreadsheetml/2006/main" count="2332" uniqueCount="525">
  <si>
    <t>Campo</t>
  </si>
  <si>
    <t>Instrução</t>
  </si>
  <si>
    <t>Componentes de referência</t>
  </si>
  <si>
    <t>YPD-R200 (26 dBm); antena Airplux APCA8090 de 5 dBi e polarização linear; tags AD-239 M730; Arduino.</t>
  </si>
  <si>
    <t>Orientação</t>
  </si>
  <si>
    <t>Foram aplicadas perdas adicionais em 45° e 90°, coerentes com o uso de antena de polarização linear.</t>
  </si>
  <si>
    <t>Material</t>
  </si>
  <si>
    <t>Metal direto recebeu degradação severa; o espaçador de 10 mm recuperou somente parte do enlace.</t>
  </si>
  <si>
    <t>Inventário em sala</t>
  </si>
  <si>
    <t>As leituras foram simuladas como eventos ao longo de janelas de 10 s, incluindo duplicatas, omissões e duas leituras externas.</t>
  </si>
  <si>
    <t>Identificador da simulação</t>
  </si>
  <si>
    <t>ANÁLISE DESCRITIVA DOS DADOS SINTÉTICOS</t>
  </si>
  <si>
    <t>Taxa observada de erro/omissão = 100 × (oportunidades - sucessos) / oportunidades.</t>
  </si>
  <si>
    <t>As faixas t de 95% descrevem apenas a dispersão interna entre configurações sintéticas; não são intervalos de confiança sobre o protótipo real.</t>
  </si>
  <si>
    <t>A taxa observada não é fator de correção. Sensibilidade e especificidade exigem calibração com medições reais.</t>
  </si>
  <si>
    <t>Ensaio</t>
  </si>
  <si>
    <t>Condição</t>
  </si>
  <si>
    <t>Unidade analisada</t>
  </si>
  <si>
    <t>n unidades</t>
  </si>
  <si>
    <t>Oportunidades</t>
  </si>
  <si>
    <t>Sucessos</t>
  </si>
  <si>
    <t>Erros/omissões</t>
  </si>
  <si>
    <t>Sucesso observado (%)</t>
  </si>
  <si>
    <t>Erro/omissão observado (%)</t>
  </si>
  <si>
    <t>Mín. por unidade (%)</t>
  </si>
  <si>
    <t>Máx. por unidade (%)</t>
  </si>
  <si>
    <t>Faixa t 95% inf. sucesso sintético (%)</t>
  </si>
  <si>
    <t>Faixa t 95% sup. sucesso sintético (%)</t>
  </si>
  <si>
    <t>Faixa t 95% inf. erro sintético (%)</t>
  </si>
  <si>
    <t>Faixa t 95% sup. erro sintético (%)</t>
  </si>
  <si>
    <t>Observação</t>
  </si>
  <si>
    <t>Alcance</t>
  </si>
  <si>
    <t>0,5 m</t>
  </si>
  <si>
    <t>configuração tag-altura</t>
  </si>
  <si>
    <t>1,0 m</t>
  </si>
  <si>
    <t>1,5 m</t>
  </si>
  <si>
    <t>2,0 m</t>
  </si>
  <si>
    <t>2,5 m</t>
  </si>
  <si>
    <t>3,0 m</t>
  </si>
  <si>
    <t>3,5 m</t>
  </si>
  <si>
    <t>4,0 m</t>
  </si>
  <si>
    <t>0 graus</t>
  </si>
  <si>
    <t>configuração de altura</t>
  </si>
  <si>
    <t>45 graus</t>
  </si>
  <si>
    <t>90 graus</t>
  </si>
  <si>
    <t>Papelao</t>
  </si>
  <si>
    <t>montagem única</t>
  </si>
  <si>
    <t>Sem intervalo: uma única montagem por condição sintética.</t>
  </si>
  <si>
    <t>Madeira</t>
  </si>
  <si>
    <t>Plastico</t>
  </si>
  <si>
    <t>Vidro</t>
  </si>
  <si>
    <t>Metal direto</t>
  </si>
  <si>
    <t>Metal com espacador</t>
  </si>
  <si>
    <t>Passagem</t>
  </si>
  <si>
    <t>configuração de passagem</t>
  </si>
  <si>
    <t>Inventário</t>
  </si>
  <si>
    <t>Todas as janelas</t>
  </si>
  <si>
    <t>janela de inventário</t>
  </si>
  <si>
    <t>2 leituras externas; sem denominador para taxa de falso positivo.</t>
  </si>
  <si>
    <t>Parâmetro</t>
  </si>
  <si>
    <t>Valor</t>
  </si>
  <si>
    <t>Identificador</t>
  </si>
  <si>
    <t>RFID-UHF-SYN-20260712-v2</t>
  </si>
  <si>
    <t>Cronograma simulado</t>
  </si>
  <si>
    <t>2026-06-20 a 2026-07-05</t>
  </si>
  <si>
    <t>Local/ambiente de referência</t>
  </si>
  <si>
    <t>Sala DTIN</t>
  </si>
  <si>
    <t>Operador de referência</t>
  </si>
  <si>
    <t>Leonardo Teixeira Gomes Silva</t>
  </si>
  <si>
    <t>Leitor</t>
  </si>
  <si>
    <t>YPD-R200</t>
  </si>
  <si>
    <t>Antena</t>
  </si>
  <si>
    <t>Airplux APCA8090, 5 dBi, polarização linear</t>
  </si>
  <si>
    <t>Altura da antena (cm)</t>
  </si>
  <si>
    <t>Tag</t>
  </si>
  <si>
    <t>Avery Dennison Smartrac AD-239 M730</t>
  </si>
  <si>
    <t>Potência nominal configurada (dBm)</t>
  </si>
  <si>
    <t>Microcontrolador</t>
  </si>
  <si>
    <t>Arduino Uno/Nano com SoftwareSerial</t>
  </si>
  <si>
    <t>Fonte do leitor</t>
  </si>
  <si>
    <t>5 V / 1 A externo; GND comum com Arduino</t>
  </si>
  <si>
    <t>Baud rate UART</t>
  </si>
  <si>
    <t>Orientação de referência</t>
  </si>
  <si>
    <t>0° = tag alinhada/paralela à polarização linear da antena</t>
  </si>
  <si>
    <t>altura_tag_cm</t>
  </si>
  <si>
    <t>id_tag</t>
  </si>
  <si>
    <t>epc_lido</t>
  </si>
  <si>
    <t>objeto/suporte</t>
  </si>
  <si>
    <t>material</t>
  </si>
  <si>
    <t>orientacao_graus</t>
  </si>
  <si>
    <t>posicao_lateral_cm</t>
  </si>
  <si>
    <t>observacoes</t>
  </si>
  <si>
    <t>TAG060</t>
  </si>
  <si>
    <t>30080001003CA1B2C3D4E5F6A7B8C9D0</t>
  </si>
  <si>
    <t>Monitor</t>
  </si>
  <si>
    <t>Tag baixa, proxima a bancada</t>
  </si>
  <si>
    <t>TAG070</t>
  </si>
  <si>
    <t>300800020046A1B2C3D4E5F6A7B8C9D0</t>
  </si>
  <si>
    <t>Armario</t>
  </si>
  <si>
    <t>Tag baixa em lateral de armario</t>
  </si>
  <si>
    <t>TAG080</t>
  </si>
  <si>
    <t>300800030050A1B2C3D4E5F6A7B8C9D0</t>
  </si>
  <si>
    <t>Computador</t>
  </si>
  <si>
    <t>Condicao de degradacao sobre metal</t>
  </si>
  <si>
    <t>TAG090</t>
  </si>
  <si>
    <t>30080004005AA1B2C3D4E5F6A7B8C9D0</t>
  </si>
  <si>
    <t>Tag em periferico de mesa</t>
  </si>
  <si>
    <t>TAG100</t>
  </si>
  <si>
    <t>300800050064A1B2C3D4E5F6A7B8C9D0</t>
  </si>
  <si>
    <t>Cadeira</t>
  </si>
  <si>
    <t>Tag proxima ao piso</t>
  </si>
  <si>
    <t>TAG110</t>
  </si>
  <si>
    <t>30080006006EA1B2C3D4E5F6A7B8C9D0</t>
  </si>
  <si>
    <t>Altura inicial do ensaio controlado</t>
  </si>
  <si>
    <t>TAG120</t>
  </si>
  <si>
    <t>300800070078A1B2C3D4E5F6A7B8C9D0</t>
  </si>
  <si>
    <t>Suporte nao metalico</t>
  </si>
  <si>
    <t>TAG130</t>
  </si>
  <si>
    <t>300800080082A1B2C3D4E5F6A7B8C9D0</t>
  </si>
  <si>
    <t>TAG140</t>
  </si>
  <si>
    <t>30080009008CA1B2C3D4E5F6A7B8C9D0</t>
  </si>
  <si>
    <t>Teclado</t>
  </si>
  <si>
    <t>TAG150</t>
  </si>
  <si>
    <t>3008000A0096A1B2C3D4E5F6A7B8C9D0</t>
  </si>
  <si>
    <t>Mesma altura da antena</t>
  </si>
  <si>
    <t>TAG160</t>
  </si>
  <si>
    <t>3008000B00A0A1B2C3D4E5F6A7B8C9D0</t>
  </si>
  <si>
    <t>TAG170</t>
  </si>
  <si>
    <t>3008000C00AAA1B2C3D4E5F6A7B8C9D0</t>
  </si>
  <si>
    <t>CPU</t>
  </si>
  <si>
    <t>Metal avaliado com espacador</t>
  </si>
  <si>
    <t>TAG180</t>
  </si>
  <si>
    <t>3008000D00B4A1B2C3D4E5F6A7B8C9D0</t>
  </si>
  <si>
    <t>Mesa</t>
  </si>
  <si>
    <t>TAG190</t>
  </si>
  <si>
    <t>3008000E00BEA1B2C3D4E5F6A7B8C9D0</t>
  </si>
  <si>
    <t>Impressora</t>
  </si>
  <si>
    <t>TAG200</t>
  </si>
  <si>
    <t>3008000F00C8A1B2C3D4E5F6A7B8C9D0</t>
  </si>
  <si>
    <t>Estante</t>
  </si>
  <si>
    <t>TAG210</t>
  </si>
  <si>
    <t>3008001000D2A1B2C3D4E5F6A7B8C9D0</t>
  </si>
  <si>
    <t>Projetor</t>
  </si>
  <si>
    <t>TAG220</t>
  </si>
  <si>
    <t>3008001100DCA1B2C3D4E5F6A7B8C9D0</t>
  </si>
  <si>
    <t>Caixa de arquivo</t>
  </si>
  <si>
    <t>TAG230</t>
  </si>
  <si>
    <t>3008001200E6A1B2C3D4E5F6A7B8C9D0</t>
  </si>
  <si>
    <t>Quadro de avisos</t>
  </si>
  <si>
    <t>Superficie de vidro</t>
  </si>
  <si>
    <t>TAG240</t>
  </si>
  <si>
    <t>3008001300F0A1B2C3D4E5F6A7B8C9D0</t>
  </si>
  <si>
    <t>Mesa auxiliar</t>
  </si>
  <si>
    <t>TAG250</t>
  </si>
  <si>
    <t>3008001400FAA1B2C3D4E5F6A7B8C9D0</t>
  </si>
  <si>
    <t>Caixa alta</t>
  </si>
  <si>
    <t>Limite superior do ensaio</t>
  </si>
  <si>
    <t>altura_antena_cm</t>
  </si>
  <si>
    <t>distancia_m</t>
  </si>
  <si>
    <t>tentativas</t>
  </si>
  <si>
    <t>leituras_validas</t>
  </si>
  <si>
    <t>taxa_sucesso_%</t>
  </si>
  <si>
    <t>rssi_medio</t>
  </si>
  <si>
    <t>rssi_min</t>
  </si>
  <si>
    <t>rssi_max</t>
  </si>
  <si>
    <t>material/suporte</t>
  </si>
  <si>
    <t>nao_leituras</t>
  </si>
  <si>
    <t>taxa_nao_leitura_%</t>
  </si>
  <si>
    <t>Leitura repetível no limiar de 90%; pequenas falhas aleatórias preservadas.</t>
  </si>
  <si>
    <t>Desempenho intermediário, com falhas concentradas em desvanecimentos.</t>
  </si>
  <si>
    <t>Baixa repetibilidade; condição próxima ou além do alcance operacional.</t>
  </si>
  <si>
    <t>Nenhuma resposta válida nesta condição sintética.</t>
  </si>
  <si>
    <t>Etiqueta alinhada à polarização linear; referência do ensaio.</t>
  </si>
  <si>
    <t>Desalinhamento parcial; perdas variáveis por polarização e multipercurso.</t>
  </si>
  <si>
    <t>Orientação ortogonal; respostas residuais atribuíveis ao multipercurso.</t>
  </si>
  <si>
    <t>espacador_mm</t>
  </si>
  <si>
    <t>Superfície não metálica compatível com a etiqueta convencional.</t>
  </si>
  <si>
    <t>Desempenho reduzido por montagem e proximidade de estruturas do ambiente.</t>
  </si>
  <si>
    <t>Dessintonização severa; a AD-239 M730 não é uma etiqueta on-metal.</t>
  </si>
  <si>
    <t>O espaçador recupera parte do enlace, mas não elimina a degradação.</t>
  </si>
  <si>
    <t>rodada</t>
  </si>
  <si>
    <t>duracao_janela_s</t>
  </si>
  <si>
    <t>qtd_tags_presentes</t>
  </si>
  <si>
    <t>qtd_tags_detectadas</t>
  </si>
  <si>
    <t>cobertura_%</t>
  </si>
  <si>
    <t>tempo_ate_detectar_todas_s</t>
  </si>
  <si>
    <t>leituras_duplicadas</t>
  </si>
  <si>
    <t>leituras_externas</t>
  </si>
  <si>
    <t>rota/posicao_operador</t>
  </si>
  <si>
    <t>tags_nao_detectadas</t>
  </si>
  <si>
    <t>taxa_omissao_%</t>
  </si>
  <si>
    <t>rota A - corredor esquerdo</t>
  </si>
  <si>
    <t>Não detectadas: TAG200.</t>
  </si>
  <si>
    <t>Não detectadas: TAG170.</t>
  </si>
  <si>
    <t>rota B - centro da sala</t>
  </si>
  <si>
    <t>Todos os EPCs esperados foram detectados na janela.</t>
  </si>
  <si>
    <t>rota C - próximo aos armários</t>
  </si>
  <si>
    <t>Não detectadas: TAG140.</t>
  </si>
  <si>
    <t>rota D - passagem mais rápida</t>
  </si>
  <si>
    <t>Não detectadas: TAG170, TAG190.</t>
  </si>
  <si>
    <t>Não detectadas: TAG170, TAG180.</t>
  </si>
  <si>
    <t>rota E - varredura lenta</t>
  </si>
  <si>
    <t>velocidade</t>
  </si>
  <si>
    <t>passagens</t>
  </si>
  <si>
    <t>passagens_detectadas</t>
  </si>
  <si>
    <t>taxa_detectada_%</t>
  </si>
  <si>
    <t>passagens_nao_detectadas</t>
  </si>
  <si>
    <t>taxa_nao_deteccao_%</t>
  </si>
  <si>
    <t>lenta</t>
  </si>
  <si>
    <t>Detecção parcial; uma única zona não determina o sentido.</t>
  </si>
  <si>
    <t>Detecção estável para passagem lenta nesta configuração.</t>
  </si>
  <si>
    <t>Baixa repetibilidade; distância/posição inadequadas para portal simples.</t>
  </si>
  <si>
    <t>RFID-UHF-SYN-20260712-v3-300</t>
  </si>
  <si>
    <t>Identificador: RFID-UHF-SYN-20260712-v3-300. Todos os resultados desta aba derivam da simulação determinística documentada no arquivo.</t>
  </si>
  <si>
    <t>ensaio</t>
  </si>
  <si>
    <t>tentativa</t>
  </si>
  <si>
    <t>timestamp</t>
  </si>
  <si>
    <t>leitura_valida_0_1</t>
  </si>
  <si>
    <t>rssi</t>
  </si>
  <si>
    <t>observações</t>
  </si>
  <si>
    <t>nao_leitura_0_1</t>
  </si>
  <si>
    <t>alcance_distancia</t>
  </si>
  <si>
    <t>2026-07-07 09:00:05</t>
  </si>
  <si>
    <t>2026-07-07 09:00:33</t>
  </si>
  <si>
    <t>2026-07-07 09:01:04</t>
  </si>
  <si>
    <t>2026-07-07 09:01:35</t>
  </si>
  <si>
    <t>2026-07-07 09:02:01</t>
  </si>
  <si>
    <t>2026-07-07 09:02:29</t>
  </si>
  <si>
    <t>2026-07-07 09:03:01</t>
  </si>
  <si>
    <t>2026-07-07 09:03:32</t>
  </si>
  <si>
    <t>2026-07-07 09:04:10</t>
  </si>
  <si>
    <t>2026-07-07 09:04:34</t>
  </si>
  <si>
    <t>2026-07-07 09:05:03</t>
  </si>
  <si>
    <t>2026-07-07 09:05:34</t>
  </si>
  <si>
    <t>2026-07-07 09:06:03</t>
  </si>
  <si>
    <t>2026-07-07 09:06:38</t>
  </si>
  <si>
    <t>2026-07-07 09:07:06</t>
  </si>
  <si>
    <t>2026-07-07 09:07:35</t>
  </si>
  <si>
    <t>2026-07-07 09:08:05</t>
  </si>
  <si>
    <t>2026-07-07 09:08:36</t>
  </si>
  <si>
    <t>2026-07-07 09:09:04</t>
  </si>
  <si>
    <t>2026-07-07 09:09:41</t>
  </si>
  <si>
    <t>2026-07-07 09:10:16</t>
  </si>
  <si>
    <t>2026-07-07 09:10:51</t>
  </si>
  <si>
    <t>2026-07-07 09:11:23</t>
  </si>
  <si>
    <t>2026-07-07 09:11:54</t>
  </si>
  <si>
    <t>2026-07-07 09:12:21</t>
  </si>
  <si>
    <t>2026-07-07 09:12:48</t>
  </si>
  <si>
    <t>2026-07-07 09:13:19</t>
  </si>
  <si>
    <t>2026-07-07 09:13:48</t>
  </si>
  <si>
    <t>2026-07-07 09:14:19</t>
  </si>
  <si>
    <t>2026-07-07 09:14:46</t>
  </si>
  <si>
    <t>2026-07-07 09:15:19</t>
  </si>
  <si>
    <t>2026-07-07 09:15:44</t>
  </si>
  <si>
    <t>2026-07-07 09:16:12</t>
  </si>
  <si>
    <t>2026-07-07 09:16:35</t>
  </si>
  <si>
    <t>2026-07-07 09:17:03</t>
  </si>
  <si>
    <t>2026-07-07 09:17:31</t>
  </si>
  <si>
    <t>2026-07-07 09:18:03</t>
  </si>
  <si>
    <t>2026-07-07 09:18:27</t>
  </si>
  <si>
    <t>2026-07-07 09:18:57</t>
  </si>
  <si>
    <t>2026-07-07 09:19:30</t>
  </si>
  <si>
    <t>2026-07-07 09:19:58</t>
  </si>
  <si>
    <t>2026-07-07 09:20:24</t>
  </si>
  <si>
    <t>2026-07-07 09:21:00</t>
  </si>
  <si>
    <t>2026-07-07 09:21:38</t>
  </si>
  <si>
    <t>2026-07-07 09:22:06</t>
  </si>
  <si>
    <t>2026-07-07 09:22:37</t>
  </si>
  <si>
    <t>2026-07-07 09:23:11</t>
  </si>
  <si>
    <t>2026-07-07 09:23:47</t>
  </si>
  <si>
    <t>2026-07-07 09:24:23</t>
  </si>
  <si>
    <t>2026-07-07 09:24:51</t>
  </si>
  <si>
    <t>2026-07-07 09:25:23</t>
  </si>
  <si>
    <t>2026-07-07 09:25:48</t>
  </si>
  <si>
    <t>2026-07-07 09:26:20</t>
  </si>
  <si>
    <t>2026-07-07 09:26:57</t>
  </si>
  <si>
    <t>2026-07-07 09:27:28</t>
  </si>
  <si>
    <t>2026-07-07 09:28:03</t>
  </si>
  <si>
    <t>2026-07-07 09:28:33</t>
  </si>
  <si>
    <t>2026-07-07 09:28:58</t>
  </si>
  <si>
    <t>2026-07-07 09:29:35</t>
  </si>
  <si>
    <t>2026-07-07 09:30:10</t>
  </si>
  <si>
    <t>2026-07-07 09:30:47</t>
  </si>
  <si>
    <t>2026-07-07 09:31:15</t>
  </si>
  <si>
    <t>2026-07-07 09:31:48</t>
  </si>
  <si>
    <t>2026-07-07 09:32:15</t>
  </si>
  <si>
    <t>2026-07-07 09:32:46</t>
  </si>
  <si>
    <t>2026-07-07 09:33:24</t>
  </si>
  <si>
    <t>2026-07-07 09:34:01</t>
  </si>
  <si>
    <t>2026-07-07 09:34:32</t>
  </si>
  <si>
    <t>2026-07-07 09:35:04</t>
  </si>
  <si>
    <t>2026-07-07 09:35:38</t>
  </si>
  <si>
    <t>2026-07-07 09:36:04</t>
  </si>
  <si>
    <t>2026-07-07 09:36:38</t>
  </si>
  <si>
    <t>2026-07-07 09:37:09</t>
  </si>
  <si>
    <t>2026-07-07 09:37:43</t>
  </si>
  <si>
    <t>2026-07-07 09:38:13</t>
  </si>
  <si>
    <t>2026-07-07 09:38:47</t>
  </si>
  <si>
    <t>2026-07-07 09:39:11</t>
  </si>
  <si>
    <t>2026-07-07 09:39:35</t>
  </si>
  <si>
    <t>2026-07-07 09:40:07</t>
  </si>
  <si>
    <t>2026-07-07 09:40:31</t>
  </si>
  <si>
    <t>2026-07-07 09:40:55</t>
  </si>
  <si>
    <t>2026-07-07 09:41:34</t>
  </si>
  <si>
    <t>2026-07-07 09:42:02</t>
  </si>
  <si>
    <t>2026-07-07 09:42:25</t>
  </si>
  <si>
    <t>2026-07-07 09:42:48</t>
  </si>
  <si>
    <t>2026-07-07 09:43:14</t>
  </si>
  <si>
    <t>2026-07-07 09:43:37</t>
  </si>
  <si>
    <t>2026-07-07 09:44:03</t>
  </si>
  <si>
    <t>2026-07-07 09:44:29</t>
  </si>
  <si>
    <t>2026-07-07 09:45:07</t>
  </si>
  <si>
    <t>2026-07-07 09:45:35</t>
  </si>
  <si>
    <t>2026-07-07 09:46:03</t>
  </si>
  <si>
    <t>2026-07-07 09:46:40</t>
  </si>
  <si>
    <t>2026-07-07 09:47:09</t>
  </si>
  <si>
    <t>2026-07-07 09:47:47</t>
  </si>
  <si>
    <t>2026-07-07 09:48:25</t>
  </si>
  <si>
    <t>2026-07-07 09:48:59</t>
  </si>
  <si>
    <t>2026-07-07 09:49:29</t>
  </si>
  <si>
    <t>2026-07-07 09:50:08</t>
  </si>
  <si>
    <t>2026-07-07 09:50:36</t>
  </si>
  <si>
    <t>2026-07-07 09:51:00</t>
  </si>
  <si>
    <t>2026-07-07 09:51:29</t>
  </si>
  <si>
    <t>2026-07-07 09:52:02</t>
  </si>
  <si>
    <t>2026-07-07 09:52:31</t>
  </si>
  <si>
    <t>2026-07-07 09:52:57</t>
  </si>
  <si>
    <t>2026-07-07 09:53:20</t>
  </si>
  <si>
    <t>2026-07-07 09:53:48</t>
  </si>
  <si>
    <t>2026-07-07 09:54:13</t>
  </si>
  <si>
    <t>2026-07-07 09:54:48</t>
  </si>
  <si>
    <t>2026-07-07 09:55:16</t>
  </si>
  <si>
    <t>2026-07-07 09:55:39</t>
  </si>
  <si>
    <t>2026-07-07 09:56:17</t>
  </si>
  <si>
    <t>2026-07-07 09:56:42</t>
  </si>
  <si>
    <t>2026-07-07 09:57:09</t>
  </si>
  <si>
    <t>2026-07-07 09:57:44</t>
  </si>
  <si>
    <t>2026-07-07 09:58:14</t>
  </si>
  <si>
    <t>2026-07-07 09:58:39</t>
  </si>
  <si>
    <t>2026-07-07 09:59:04</t>
  </si>
  <si>
    <t>2026-07-07 09:59:29</t>
  </si>
  <si>
    <t>2026-07-07 10:00:07</t>
  </si>
  <si>
    <t>orientacao</t>
  </si>
  <si>
    <t>2026-07-07 13:00:04</t>
  </si>
  <si>
    <t>2026-07-07 13:00:34</t>
  </si>
  <si>
    <t>2026-07-07 13:00:41</t>
  </si>
  <si>
    <t>2026-07-07 13:01:13</t>
  </si>
  <si>
    <t>2026-07-07 13:01:37</t>
  </si>
  <si>
    <t>2026-07-07 13:02:06</t>
  </si>
  <si>
    <t>2026-07-07 13:02:13</t>
  </si>
  <si>
    <t>2026-07-07 13:02:38</t>
  </si>
  <si>
    <t>2026-07-07 13:03:14</t>
  </si>
  <si>
    <t>2026-07-07 13:03:37</t>
  </si>
  <si>
    <t>2026-07-07 13:03:44</t>
  </si>
  <si>
    <t>2026-07-07 13:04:09</t>
  </si>
  <si>
    <t>2026-07-07 13:04:34</t>
  </si>
  <si>
    <t>2026-07-07 13:05:07</t>
  </si>
  <si>
    <t>2026-07-07 13:05:15</t>
  </si>
  <si>
    <t>2026-07-07 13:05:45</t>
  </si>
  <si>
    <t>2026-07-07 13:06:11</t>
  </si>
  <si>
    <t>2026-07-07 13:06:44</t>
  </si>
  <si>
    <t>2026-07-07 13:06:53</t>
  </si>
  <si>
    <t>2026-07-07 13:07:24</t>
  </si>
  <si>
    <t>2026-07-07 13:07:50</t>
  </si>
  <si>
    <t>2026-07-07 13:08:12</t>
  </si>
  <si>
    <t>2026-07-07 13:08:19</t>
  </si>
  <si>
    <t>2026-07-07 13:08:55</t>
  </si>
  <si>
    <t>2026-07-07 13:09:26</t>
  </si>
  <si>
    <t>2026-07-07 13:09:49</t>
  </si>
  <si>
    <t>2026-07-07 13:09:57</t>
  </si>
  <si>
    <t>2026-07-07 13:10:19</t>
  </si>
  <si>
    <t>2026-07-07 13:10:50</t>
  </si>
  <si>
    <t>2026-07-07 13:11:13</t>
  </si>
  <si>
    <t>2026-07-07 13:11:21</t>
  </si>
  <si>
    <t>2026-07-07 13:11:55</t>
  </si>
  <si>
    <t>2026-07-07 13:12:29</t>
  </si>
  <si>
    <t>2026-07-07 13:13:06</t>
  </si>
  <si>
    <t>2026-07-07 13:13:13</t>
  </si>
  <si>
    <t>2026-07-07 13:13:49</t>
  </si>
  <si>
    <t>2026-07-07 13:14:12</t>
  </si>
  <si>
    <t>2026-07-07 13:14:40</t>
  </si>
  <si>
    <t>2026-07-07 13:14:48</t>
  </si>
  <si>
    <t>2026-07-07 13:15:23</t>
  </si>
  <si>
    <t>2026-07-07 13:15:54</t>
  </si>
  <si>
    <t>2026-07-07 13:16:18</t>
  </si>
  <si>
    <t>2026-07-07 13:16:26</t>
  </si>
  <si>
    <t>2026-07-07 13:17:00</t>
  </si>
  <si>
    <t>2026-07-07 13:17:28</t>
  </si>
  <si>
    <t>2026-07-07 13:17:53</t>
  </si>
  <si>
    <t>2026-07-07 13:18:01</t>
  </si>
  <si>
    <t>2026-07-07 13:18:38</t>
  </si>
  <si>
    <t>2026-07-07 13:19:12</t>
  </si>
  <si>
    <t>2026-07-07 13:19:37</t>
  </si>
  <si>
    <t>2026-07-07 13:19:45</t>
  </si>
  <si>
    <t>2026-07-07 13:20:19</t>
  </si>
  <si>
    <t>2026-07-07 13:20:52</t>
  </si>
  <si>
    <t>2026-07-07 13:21:26</t>
  </si>
  <si>
    <t>2026-07-07 13:21:34</t>
  </si>
  <si>
    <t>2026-07-07 13:22:00</t>
  </si>
  <si>
    <t>2026-07-07 13:22:24</t>
  </si>
  <si>
    <t>2026-07-07 13:22:52</t>
  </si>
  <si>
    <t>2026-07-07 13:23:00</t>
  </si>
  <si>
    <t>2026-07-07 13:23:24</t>
  </si>
  <si>
    <t>2026-07-07 15:00:01</t>
  </si>
  <si>
    <t>2026-07-07 15:00:03</t>
  </si>
  <si>
    <t>2026-07-07 15:00:05</t>
  </si>
  <si>
    <t>2026-07-07 15:00:08</t>
  </si>
  <si>
    <t>2026-07-07 15:00:10</t>
  </si>
  <si>
    <t>2026-07-07 15:00:47</t>
  </si>
  <si>
    <t>2026-07-07 15:00:49</t>
  </si>
  <si>
    <t>2026-07-07 15:00:51</t>
  </si>
  <si>
    <t>2026-07-07 15:00:53</t>
  </si>
  <si>
    <t>2026-07-07 15:00:55</t>
  </si>
  <si>
    <t>2026-07-07 15:01:39</t>
  </si>
  <si>
    <t>2026-07-07 15:01:41</t>
  </si>
  <si>
    <t>2026-07-07 15:01:43</t>
  </si>
  <si>
    <t>2026-07-07 15:01:46</t>
  </si>
  <si>
    <t>2026-07-07 15:01:48</t>
  </si>
  <si>
    <t>2026-07-07 15:02:26</t>
  </si>
  <si>
    <t>2026-07-07 15:02:28</t>
  </si>
  <si>
    <t>2026-07-07 15:02:30</t>
  </si>
  <si>
    <t>2026-07-07 15:02:32</t>
  </si>
  <si>
    <t>2026-07-07 15:02:35</t>
  </si>
  <si>
    <t>2026-07-07 15:03:20</t>
  </si>
  <si>
    <t>2026-07-07 15:03:23</t>
  </si>
  <si>
    <t>2026-07-07 15:03:25</t>
  </si>
  <si>
    <t>2026-07-07 15:03:27</t>
  </si>
  <si>
    <t>2026-07-07 15:03:29</t>
  </si>
  <si>
    <t>2026-07-07 15:04:13</t>
  </si>
  <si>
    <t>2026-07-07 15:04:16</t>
  </si>
  <si>
    <t>2026-07-07 15:04:18</t>
  </si>
  <si>
    <t>2026-07-07 15:04:20</t>
  </si>
  <si>
    <t>2026-07-07 15:04:22</t>
  </si>
  <si>
    <t>passagem_lenta</t>
  </si>
  <si>
    <t>2026-07-08 09:01:48</t>
  </si>
  <si>
    <t>2026-07-08 09:05:44</t>
  </si>
  <si>
    <t>2026-07-08 09:10:14</t>
  </si>
  <si>
    <t>2026-07-08 09:14:24</t>
  </si>
  <si>
    <t>2026-07-08 09:18:27</t>
  </si>
  <si>
    <t>2026-07-08 09:22:32</t>
  </si>
  <si>
    <t>2026-07-08 09:26:49</t>
  </si>
  <si>
    <t>2026-07-08 09:30:52</t>
  </si>
  <si>
    <t>2026-07-08 09:34:56</t>
  </si>
  <si>
    <t>2026-07-08 09:39:08</t>
  </si>
  <si>
    <t>2026-07-08 09:43:24</t>
  </si>
  <si>
    <t>2026-07-08 09:47:20</t>
  </si>
  <si>
    <t>2026-07-08 09:51:37</t>
  </si>
  <si>
    <t>2026-07-08 09:55:55</t>
  </si>
  <si>
    <t>2026-07-08 10:00:05</t>
  </si>
  <si>
    <t>2026-07-08 10:04:19</t>
  </si>
  <si>
    <t>2026-07-08 10:08:25</t>
  </si>
  <si>
    <t>2026-07-08 10:12:23</t>
  </si>
  <si>
    <t>2026-07-08 10:16:26</t>
  </si>
  <si>
    <t>2026-07-08 10:20:49</t>
  </si>
  <si>
    <t>2026-07-08 10:24:41</t>
  </si>
  <si>
    <t>2026-07-08 10:28:54</t>
  </si>
  <si>
    <t>2026-07-08 10:32:59</t>
  </si>
  <si>
    <t>2026-07-08 10:37:04</t>
  </si>
  <si>
    <t>2026-07-08 10:41:25</t>
  </si>
  <si>
    <t>2026-07-08 10:45:11</t>
  </si>
  <si>
    <t>2026-07-08 10:49:26</t>
  </si>
  <si>
    <t>2026-07-08 10:53:12</t>
  </si>
  <si>
    <t>2026-07-08 10:57:33</t>
  </si>
  <si>
    <t>2026-07-08 11:01:56</t>
  </si>
  <si>
    <t>2026-07-08 11:06:19</t>
  </si>
  <si>
    <t>2026-07-08 11:10:17</t>
  </si>
  <si>
    <t>2026-07-08 11:14:29</t>
  </si>
  <si>
    <t>2026-07-08 11:18:42</t>
  </si>
  <si>
    <t>2026-07-08 11:22:53</t>
  </si>
  <si>
    <t>2026-07-08 11:26:59</t>
  </si>
  <si>
    <t>2026-07-08 11:30:48</t>
  </si>
  <si>
    <t>2026-07-08 11:35:12</t>
  </si>
  <si>
    <t>2026-07-08 11:39:21</t>
  </si>
  <si>
    <t>2026-07-08 11:43:46</t>
  </si>
  <si>
    <t>2026-07-08 11:48:00</t>
  </si>
  <si>
    <t>2026-07-08 11:52:25</t>
  </si>
  <si>
    <t>2026-07-08 11:56:38</t>
  </si>
  <si>
    <t>2026-07-08 12:00:40</t>
  </si>
  <si>
    <t>2026-07-08 12:04:52</t>
  </si>
  <si>
    <t>2026-07-08 12:09:06</t>
  </si>
  <si>
    <t>2026-07-08 12:13:16</t>
  </si>
  <si>
    <t>2026-07-08 12:17:33</t>
  </si>
  <si>
    <t>2026-07-08 12:21:31</t>
  </si>
  <si>
    <t>2026-07-08 12:25:13</t>
  </si>
  <si>
    <t>2026-07-08 12:29:30</t>
  </si>
  <si>
    <t>2026-07-08 12:33:33</t>
  </si>
  <si>
    <t>2026-07-08 12:37:47</t>
  </si>
  <si>
    <t>2026-07-08 12:42:02</t>
  </si>
  <si>
    <t>2026-07-08 12:46:09</t>
  </si>
  <si>
    <t>2026-07-08 12:50:24</t>
  </si>
  <si>
    <t>2026-07-08 12:54:15</t>
  </si>
  <si>
    <t>2026-07-08 12:58:23</t>
  </si>
  <si>
    <t>2026-07-08 13:02:40</t>
  </si>
  <si>
    <t>2026-07-08 13:06:49</t>
  </si>
  <si>
    <t>inventario_sala_10s</t>
  </si>
  <si>
    <t>2026-07-08 14:30:02</t>
  </si>
  <si>
    <t>2026-07-08 14:30:04</t>
  </si>
  <si>
    <t>2026-07-08 14:30:07</t>
  </si>
  <si>
    <t>2026-07-08 14:31:36</t>
  </si>
  <si>
    <t>2026-07-08 14:31:41</t>
  </si>
  <si>
    <t>2026-07-08 14:31:44</t>
  </si>
  <si>
    <t>2026-07-08 14:33:12</t>
  </si>
  <si>
    <t>2026-07-08 14:33:15</t>
  </si>
  <si>
    <t>2026-07-08 14:33:17</t>
  </si>
  <si>
    <t>2026-07-08 14:33:18</t>
  </si>
  <si>
    <t>2026-07-08 14:34:47</t>
  </si>
  <si>
    <t>2026-07-08 14:34:50</t>
  </si>
  <si>
    <t>2026-07-08 14:34:52</t>
  </si>
  <si>
    <t>2026-07-08 14:36:20</t>
  </si>
  <si>
    <t>2026-07-08 14:36:23</t>
  </si>
  <si>
    <t>2026-07-08 14:36:26</t>
  </si>
  <si>
    <t>2026-07-08 14:36:29</t>
  </si>
  <si>
    <t>2026-07-08 14:37:58</t>
  </si>
  <si>
    <t>2026-07-08 14:38:01</t>
  </si>
  <si>
    <t>2026-07-08 14:39:30</t>
  </si>
  <si>
    <t>2026-07-08 14:39:40</t>
  </si>
  <si>
    <t>2026-07-08 14:41:08</t>
  </si>
  <si>
    <t>2026-07-08 14:42:40</t>
  </si>
  <si>
    <t>2026-07-08 14:42:42</t>
  </si>
  <si>
    <t>2026-07-08 14:42:45</t>
  </si>
  <si>
    <t>2026-07-08 14:42:47</t>
  </si>
  <si>
    <t>2026-07-08 14:42:48</t>
  </si>
  <si>
    <t>2026-07-08 14:44:16</t>
  </si>
  <si>
    <t>2026-07-08 14:44:19</t>
  </si>
  <si>
    <t>2026-07-08 14:44:23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</si>
</sst>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yyyy\-mm\-dd\ hh:mm:ss"/>
  </numFmts>
  <fonts count="27" x14ac:knownFonts="1">
    <font>
      <sz val="11"/>
      <color theme="1"/>
      <name val="Calibri"/>
    </font>
    <font>
      <b/>
      <sz val="11"/>
      <name val="Calibri"/>
    </font>
    <font>
      <sz val="10"/>
      <color theme="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FF0000"/>
      <name val="Calibri"/>
    </font>
    <font>
      <b/>
      <sz val="18"/>
      <color theme="3"/>
      <name val="Calibri"/>
    </font>
    <font>
      <i/>
      <sz val="11"/>
      <color rgb="FF7F7F7F"/>
      <name val="Calibri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b/>
      <sz val="11"/>
      <color rgb="FFFFFFFF"/>
      <name val="Calibri"/>
    </font>
    <font>
      <sz val="11"/>
      <color rgb="FFFA7D00"/>
      <name val="Calibri"/>
    </font>
    <font>
      <b/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theme="0"/>
      <name val="Calibri"/>
    </font>
    <font>
      <sz val="11"/>
      <color theme="1"/>
      <name val="Calibri"/>
    </font>
    <font>
      <b/>
      <sz val="11"/>
      <color rgb="FF1F2937"/>
      <name val="Calibri"/>
    </font>
    <font>
      <sz val="9"/>
      <color theme="1"/>
      <name val="Calibri"/>
    </font>
    <font>
      <b/>
      <sz val="14"/>
      <color rgb="FFFFFFFF"/>
      <name val="Calibri"/>
    </font>
    <font>
      <b/>
      <sz val="11"/>
      <color rgb="FF1F2937"/>
      <name val="Calibri"/>
    </font>
    <font>
      <u/>
      <sz val="11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9EAF7"/>
      </patternFill>
    </fill>
    <fill>
      <patternFill patternType="solid">
        <fgColor rgb="FFF4B183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2370372631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</borders>
  <cellStyleXfs count="49">
    <xf numFmtId="0" fontId="0" fillId="0" borderId="10"/>
    <xf numFmtId="43" fontId="2" fillId="0" borderId="10">
      <alignment vertical="center"/>
    </xf>
    <xf numFmtId="44" fontId="2" fillId="0" borderId="10">
      <alignment vertical="center"/>
    </xf>
    <xf numFmtId="9" fontId="2" fillId="0" borderId="10">
      <alignment vertical="center"/>
    </xf>
    <xf numFmtId="41" fontId="2" fillId="0" borderId="10">
      <alignment vertical="center"/>
    </xf>
    <xf numFmtId="42" fontId="2" fillId="0" borderId="10">
      <alignment vertical="center"/>
    </xf>
    <xf numFmtId="0" fontId="3" fillId="0" borderId="10">
      <alignment vertical="center"/>
    </xf>
    <xf numFmtId="0" fontId="4" fillId="0" borderId="10">
      <alignment vertical="center"/>
    </xf>
    <xf numFmtId="0" fontId="2" fillId="3" borderId="2">
      <alignment vertical="center"/>
    </xf>
    <xf numFmtId="0" fontId="5" fillId="0" borderId="10">
      <alignment vertical="center"/>
    </xf>
    <xf numFmtId="0" fontId="6" fillId="0" borderId="10">
      <alignment vertical="center"/>
    </xf>
    <xf numFmtId="0" fontId="7" fillId="0" borderId="1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1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10">
      <alignment vertical="center"/>
    </xf>
    <xf numFmtId="0" fontId="18" fillId="8" borderId="10">
      <alignment vertical="center"/>
    </xf>
    <xf numFmtId="0" fontId="19" fillId="9" borderId="10">
      <alignment vertical="center"/>
    </xf>
    <xf numFmtId="0" fontId="20" fillId="10" borderId="10">
      <alignment vertical="center"/>
    </xf>
    <xf numFmtId="0" fontId="21" fillId="11" borderId="10">
      <alignment vertical="center"/>
    </xf>
    <xf numFmtId="0" fontId="21" fillId="12" borderId="10">
      <alignment vertical="center"/>
    </xf>
    <xf numFmtId="0" fontId="20" fillId="13" borderId="10">
      <alignment vertical="center"/>
    </xf>
    <xf numFmtId="0" fontId="20" fillId="14" borderId="10">
      <alignment vertical="center"/>
    </xf>
    <xf numFmtId="0" fontId="21" fillId="15" borderId="10">
      <alignment vertical="center"/>
    </xf>
    <xf numFmtId="0" fontId="21" fillId="16" borderId="10">
      <alignment vertical="center"/>
    </xf>
    <xf numFmtId="0" fontId="20" fillId="17" borderId="10">
      <alignment vertical="center"/>
    </xf>
    <xf numFmtId="0" fontId="20" fillId="18" borderId="10">
      <alignment vertical="center"/>
    </xf>
    <xf numFmtId="0" fontId="21" fillId="19" borderId="10">
      <alignment vertical="center"/>
    </xf>
    <xf numFmtId="0" fontId="21" fillId="20" borderId="10">
      <alignment vertical="center"/>
    </xf>
    <xf numFmtId="0" fontId="20" fillId="21" borderId="10">
      <alignment vertical="center"/>
    </xf>
    <xf numFmtId="0" fontId="20" fillId="22" borderId="10">
      <alignment vertical="center"/>
    </xf>
    <xf numFmtId="0" fontId="21" fillId="23" borderId="10">
      <alignment vertical="center"/>
    </xf>
    <xf numFmtId="0" fontId="21" fillId="24" borderId="10">
      <alignment vertical="center"/>
    </xf>
    <xf numFmtId="0" fontId="20" fillId="25" borderId="10">
      <alignment vertical="center"/>
    </xf>
    <xf numFmtId="0" fontId="20" fillId="26" borderId="10">
      <alignment vertical="center"/>
    </xf>
    <xf numFmtId="0" fontId="21" fillId="27" borderId="10">
      <alignment vertical="center"/>
    </xf>
    <xf numFmtId="0" fontId="21" fillId="28" borderId="10">
      <alignment vertical="center"/>
    </xf>
    <xf numFmtId="0" fontId="20" fillId="29" borderId="10">
      <alignment vertical="center"/>
    </xf>
    <xf numFmtId="0" fontId="20" fillId="30" borderId="10">
      <alignment vertical="center"/>
    </xf>
    <xf numFmtId="0" fontId="21" fillId="31" borderId="10">
      <alignment vertical="center"/>
    </xf>
    <xf numFmtId="0" fontId="21" fillId="32" borderId="10">
      <alignment vertical="center"/>
    </xf>
    <xf numFmtId="0" fontId="20" fillId="33" borderId="10">
      <alignment vertical="center"/>
    </xf>
  </cellStyleXfs>
  <cellXfs count="27">
    <xf numFmtId="0" fontId="0" fillId="0" borderId="0" xfId="0" applyBorder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35" borderId="0" xfId="0" applyFill="1" applyBorder="1" applyAlignment="1">
      <alignment vertical="top" wrapText="1"/>
    </xf>
    <xf numFmtId="1" fontId="0" fillId="0" borderId="0" xfId="0" applyNumberFormat="1" applyBorder="1"/>
    <xf numFmtId="164" fontId="0" fillId="0" borderId="0" xfId="0" applyNumberFormat="1" applyBorder="1"/>
    <xf numFmtId="0" fontId="22" fillId="36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22" fillId="37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top" wrapText="1"/>
    </xf>
    <xf numFmtId="165" fontId="23" fillId="0" borderId="1" xfId="0" applyNumberFormat="1" applyFont="1" applyBorder="1" applyAlignment="1">
      <alignment vertical="top" wrapText="1"/>
    </xf>
    <xf numFmtId="164" fontId="23" fillId="0" borderId="1" xfId="0" applyNumberFormat="1" applyFont="1" applyBorder="1" applyAlignment="1">
      <alignment vertical="top" wrapText="1"/>
    </xf>
    <xf numFmtId="1" fontId="23" fillId="0" borderId="0" xfId="0" applyNumberFormat="1" applyFont="1" applyBorder="1"/>
    <xf numFmtId="0" fontId="23" fillId="0" borderId="0" xfId="0" applyFont="1" applyBorder="1"/>
    <xf numFmtId="165" fontId="23" fillId="0" borderId="0" xfId="0" applyNumberFormat="1" applyFont="1" applyBorder="1"/>
    <xf numFmtId="164" fontId="23" fillId="0" borderId="0" xfId="0" applyNumberFormat="1" applyFont="1" applyBorder="1"/>
    <xf numFmtId="0" fontId="25" fillId="36" borderId="0" xfId="0" applyFont="1" applyFill="1" applyBorder="1" applyAlignment="1">
      <alignment horizontal="center" vertical="center" wrapText="1"/>
    </xf>
    <xf numFmtId="164" fontId="0" fillId="0" borderId="0" xfId="0" applyNumberFormat="1" applyBorder="1" applyAlignment="1">
      <alignment vertical="top" wrapText="1"/>
    </xf>
    <xf numFmtId="164" fontId="0" fillId="35" borderId="0" xfId="0" applyNumberFormat="1" applyFill="1" applyBorder="1" applyAlignment="1">
      <alignment vertical="top" wrapText="1"/>
    </xf>
    <xf numFmtId="0" fontId="22" fillId="2" borderId="1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wrapText="1"/>
    </xf>
    <xf numFmtId="0" fontId="0" fillId="34" borderId="10" xfId="0" applyFill="1" applyAlignment="1">
      <alignment vertical="top" wrapText="1"/>
    </xf>
    <xf numFmtId="0" fontId="0" fillId="0" borderId="10" xfId="0"/>
    <xf numFmtId="0" fontId="24" fillId="38" borderId="10" xfId="0" applyFont="1" applyFill="1" applyAlignment="1">
      <alignment horizontal="center" vertical="center" wrapText="1"/>
    </xf>
    <xf numFmtId="0" fontId="26" fillId="0" borderId="0" xfId="0" applyFont="1" applyBorder="1"/>
  </cellXfs>
  <cellStyles count="49">
    <cellStyle name="20% - Ênfase 1" xfId="26" xr:uid="{00000000-0005-0000-0000-000000000000}"/>
    <cellStyle name="20% - Ênfase 2" xfId="30" xr:uid="{00000000-0005-0000-0000-000001000000}"/>
    <cellStyle name="20% - Ênfase 3" xfId="34" xr:uid="{00000000-0005-0000-0000-000002000000}"/>
    <cellStyle name="20% - Ênfase 4" xfId="38" xr:uid="{00000000-0005-0000-0000-000003000000}"/>
    <cellStyle name="20% - Ênfase 5" xfId="42" xr:uid="{00000000-0005-0000-0000-000004000000}"/>
    <cellStyle name="20% - Ênfase 6" xfId="46" xr:uid="{00000000-0005-0000-0000-000005000000}"/>
    <cellStyle name="40% - Ênfase 1" xfId="27" xr:uid="{00000000-0005-0000-0000-000006000000}"/>
    <cellStyle name="40% - Ênfase 2" xfId="31" xr:uid="{00000000-0005-0000-0000-000007000000}"/>
    <cellStyle name="40% - Ênfase 3" xfId="35" xr:uid="{00000000-0005-0000-0000-000008000000}"/>
    <cellStyle name="40% - Ênfase 4" xfId="39" xr:uid="{00000000-0005-0000-0000-000009000000}"/>
    <cellStyle name="40% - Ênfase 5" xfId="43" xr:uid="{00000000-0005-0000-0000-00000A000000}"/>
    <cellStyle name="40% - Ênfase 6" xfId="47" xr:uid="{00000000-0005-0000-0000-00000B000000}"/>
    <cellStyle name="60% - Ênfase 1" xfId="28" xr:uid="{00000000-0005-0000-0000-00000C000000}"/>
    <cellStyle name="60% - Ênfase 2" xfId="32" xr:uid="{00000000-0005-0000-0000-00000D000000}"/>
    <cellStyle name="60% - Ênfase 3" xfId="36" xr:uid="{00000000-0005-0000-0000-00000E000000}"/>
    <cellStyle name="60% - Ênfase 4" xfId="40" xr:uid="{00000000-0005-0000-0000-00000F000000}"/>
    <cellStyle name="60% - Ênfase 5" xfId="44" xr:uid="{00000000-0005-0000-0000-000010000000}"/>
    <cellStyle name="60% - Ênfase 6" xfId="48" xr:uid="{00000000-0005-0000-0000-000011000000}"/>
    <cellStyle name="Bom" xfId="22" xr:uid="{00000000-0005-0000-0000-000012000000}"/>
    <cellStyle name="Cálculo" xfId="18" xr:uid="{00000000-0005-0000-0000-000013000000}"/>
    <cellStyle name="Célula de Verificação" xfId="19" xr:uid="{00000000-0005-0000-0000-000014000000}"/>
    <cellStyle name="Célula Vinculada" xfId="20" xr:uid="{00000000-0005-0000-0000-000015000000}"/>
    <cellStyle name="Comma" xfId="1" xr:uid="{00000000-0005-0000-0000-000016000000}"/>
    <cellStyle name="Comma [0]" xfId="4" xr:uid="{00000000-0005-0000-0000-000017000000}"/>
    <cellStyle name="Ênfase 1" xfId="25" xr:uid="{00000000-0005-0000-0000-000018000000}"/>
    <cellStyle name="Ênfase 2" xfId="29" xr:uid="{00000000-0005-0000-0000-000019000000}"/>
    <cellStyle name="Ênfase 3" xfId="33" xr:uid="{00000000-0005-0000-0000-00001A000000}"/>
    <cellStyle name="Ênfase 4" xfId="37" xr:uid="{00000000-0005-0000-0000-00001B000000}"/>
    <cellStyle name="Ênfase 5" xfId="41" xr:uid="{00000000-0005-0000-0000-00001C000000}"/>
    <cellStyle name="Ênfase 6" xfId="45" xr:uid="{00000000-0005-0000-0000-00001D000000}"/>
    <cellStyle name="Entrada" xfId="16" xr:uid="{00000000-0005-0000-0000-00001E000000}"/>
    <cellStyle name="Hyperlink" xfId="6" xr:uid="{00000000-0005-0000-0000-00001F000000}"/>
    <cellStyle name="Hyperlink seguido" xfId="7" xr:uid="{00000000-0005-0000-0000-000020000000}"/>
    <cellStyle name="Moeda" xfId="2" xr:uid="{00000000-0005-0000-0000-000021000000}"/>
    <cellStyle name="Moeda [0]" xfId="5" xr:uid="{00000000-0005-0000-0000-000022000000}"/>
    <cellStyle name="Neutro" xfId="24" xr:uid="{00000000-0005-0000-0000-000023000000}"/>
    <cellStyle name="Normal" xfId="0" builtinId="0"/>
    <cellStyle name="Observação" xfId="8" xr:uid="{00000000-0005-0000-0000-000025000000}"/>
    <cellStyle name="Porcentagem" xfId="3" xr:uid="{00000000-0005-0000-0000-000026000000}"/>
    <cellStyle name="Ruim" xfId="23" xr:uid="{00000000-0005-0000-0000-000027000000}"/>
    <cellStyle name="Saída" xfId="17" xr:uid="{00000000-0005-0000-0000-000028000000}"/>
    <cellStyle name="Texto de Aviso" xfId="9" xr:uid="{00000000-0005-0000-0000-000029000000}"/>
    <cellStyle name="Texto Explicativo" xfId="11" xr:uid="{00000000-0005-0000-0000-00002A000000}"/>
    <cellStyle name="Título" xfId="10" xr:uid="{00000000-0005-0000-0000-00002B000000}"/>
    <cellStyle name="Título 1" xfId="12" xr:uid="{00000000-0005-0000-0000-00002C000000}"/>
    <cellStyle name="Título 2" xfId="13" xr:uid="{00000000-0005-0000-0000-00002D000000}"/>
    <cellStyle name="Título 3" xfId="14" xr:uid="{00000000-0005-0000-0000-00002E000000}"/>
    <cellStyle name="Título 4" xfId="15" xr:uid="{00000000-0005-0000-0000-00002F000000}"/>
    <cellStyle name="Total" xfId="21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857250</xdr:colOff>
      <xdr:row>25</xdr:row>
      <xdr:rowOff>190500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6F4B9C6C-7D43-55FF-D58E-BF6BA020B45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857250</xdr:colOff>
      <xdr:row>25</xdr:row>
      <xdr:rowOff>190500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ABB67459-DEDC-FA01-9CFB-4D4E3F3C6B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1057275</xdr:colOff>
      <xdr:row>30</xdr:row>
      <xdr:rowOff>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515D6F1E-D478-682C-2624-41089F4EBD8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1057275</xdr:colOff>
      <xdr:row>30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70162F9B-C6D9-D378-759A-2DF9DF0C44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390525</xdr:colOff>
      <xdr:row>46</xdr:row>
      <xdr:rowOff>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8FB08820-4E0F-3646-1945-CF0CEE8609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390525</xdr:colOff>
      <xdr:row>46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D981B061-5C04-291D-2919-8616C58441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457200</xdr:colOff>
      <xdr:row>49</xdr:row>
      <xdr:rowOff>0</xdr:rowOff>
    </xdr:to>
    <xdr:sp macro="" textlink="">
      <xdr:nvSpPr>
        <xdr:cNvPr id="4099" name="Text Box 3" hidden="1">
          <a:extLst>
            <a:ext uri="{FF2B5EF4-FFF2-40B4-BE49-F238E27FC236}">
              <a16:creationId xmlns:a16="http://schemas.microsoft.com/office/drawing/2014/main" id="{6C754317-73B8-343D-BCD9-28BCA6D9E80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457200</xdr:colOff>
      <xdr:row>49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9F3229B8-96A6-3C0B-DCC6-5681C83F56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1524000</xdr:colOff>
      <xdr:row>32</xdr:row>
      <xdr:rowOff>190500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70ADF808-AD53-DF2E-8141-263C7D590C4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1524000</xdr:colOff>
      <xdr:row>32</xdr:row>
      <xdr:rowOff>190500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3CEF05C2-E13C-0E45-71E8-E8C5D726D4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1257300</xdr:colOff>
      <xdr:row>41</xdr:row>
      <xdr:rowOff>190500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9AB5037E-3518-E8B0-6AC6-2CA7A1ED274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1257300</xdr:colOff>
      <xdr:row>41</xdr:row>
      <xdr:rowOff>190500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298CE00-0BB0-E5AD-C9C5-EF13C5D166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tabSelected="1" workbookViewId="0">
      <selection activeCell="B9" sqref="B9"/>
    </sheetView>
  </sheetViews>
  <sheetFormatPr defaultColWidth="9" defaultRowHeight="15" x14ac:dyDescent="0.25"/>
  <cols>
    <col min="1" max="1" width="27" customWidth="1"/>
    <col min="2" max="2" width="105" customWidth="1"/>
  </cols>
  <sheetData>
    <row r="1" spans="1:2" ht="33.950000000000003" customHeight="1" x14ac:dyDescent="0.25">
      <c r="A1" s="8" t="s">
        <v>0</v>
      </c>
      <c r="B1" s="8" t="s">
        <v>1</v>
      </c>
    </row>
    <row r="2" spans="1:2" ht="33.950000000000003" customHeight="1" x14ac:dyDescent="0.25">
      <c r="A2" s="2" t="s">
        <v>2</v>
      </c>
      <c r="B2" s="2" t="s">
        <v>3</v>
      </c>
    </row>
    <row r="3" spans="1:2" ht="33.950000000000003" customHeight="1" x14ac:dyDescent="0.25">
      <c r="A3" s="2" t="s">
        <v>4</v>
      </c>
      <c r="B3" s="2" t="s">
        <v>5</v>
      </c>
    </row>
    <row r="4" spans="1:2" ht="33.950000000000003" customHeight="1" x14ac:dyDescent="0.25">
      <c r="A4" s="2" t="s">
        <v>6</v>
      </c>
      <c r="B4" s="2" t="s">
        <v>7</v>
      </c>
    </row>
    <row r="5" spans="1:2" ht="33.950000000000003" customHeight="1" x14ac:dyDescent="0.25">
      <c r="A5" s="2" t="s">
        <v>8</v>
      </c>
      <c r="B5" s="2" t="s">
        <v>9</v>
      </c>
    </row>
    <row r="6" spans="1:2" ht="33.950000000000003" customHeight="1" x14ac:dyDescent="0.25">
      <c r="A6" s="9" t="s">
        <v>10</v>
      </c>
      <c r="B6" s="9" t="s">
        <v>212</v>
      </c>
    </row>
    <row r="9" spans="1:2" x14ac:dyDescent="0.25">
      <c r="B9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showGridLines="0" workbookViewId="0">
      <selection activeCell="A5" sqref="A5:P5"/>
    </sheetView>
  </sheetViews>
  <sheetFormatPr defaultRowHeight="15" x14ac:dyDescent="0.25"/>
  <cols>
    <col min="1" max="1" width="16" customWidth="1"/>
    <col min="2" max="2" width="24" customWidth="1"/>
    <col min="3" max="3" width="25" customWidth="1"/>
    <col min="4" max="4" width="11" customWidth="1"/>
    <col min="5" max="5" width="15" customWidth="1"/>
    <col min="6" max="6" width="11" customWidth="1"/>
    <col min="7" max="7" width="16" customWidth="1"/>
    <col min="8" max="8" width="19" customWidth="1"/>
    <col min="9" max="9" width="21" customWidth="1"/>
    <col min="10" max="11" width="18" customWidth="1"/>
    <col min="12" max="13" width="21" customWidth="1"/>
    <col min="14" max="15" width="18" customWidth="1"/>
    <col min="16" max="16" width="52" customWidth="1"/>
  </cols>
  <sheetData>
    <row r="1" spans="1:16" ht="27.95" customHeight="1" x14ac:dyDescent="0.25">
      <c r="A1" s="25" t="s">
        <v>11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27.95" customHeight="1" x14ac:dyDescent="0.25">
      <c r="A3" s="23" t="s">
        <v>213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27.95" customHeight="1" x14ac:dyDescent="0.25">
      <c r="A4" s="23" t="s">
        <v>12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27.95" customHeight="1" x14ac:dyDescent="0.25">
      <c r="A5" s="23" t="s">
        <v>13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27.95" customHeight="1" x14ac:dyDescent="0.25">
      <c r="A6" s="23" t="s">
        <v>14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42" customHeight="1" x14ac:dyDescent="0.25">
      <c r="A8" s="18" t="s">
        <v>15</v>
      </c>
      <c r="B8" s="18" t="s">
        <v>16</v>
      </c>
      <c r="C8" s="18" t="s">
        <v>17</v>
      </c>
      <c r="D8" s="18" t="s">
        <v>18</v>
      </c>
      <c r="E8" s="18" t="s">
        <v>19</v>
      </c>
      <c r="F8" s="18" t="s">
        <v>20</v>
      </c>
      <c r="G8" s="18" t="s">
        <v>21</v>
      </c>
      <c r="H8" s="18" t="s">
        <v>22</v>
      </c>
      <c r="I8" s="18" t="s">
        <v>23</v>
      </c>
      <c r="J8" s="18" t="s">
        <v>24</v>
      </c>
      <c r="K8" s="18" t="s">
        <v>25</v>
      </c>
      <c r="L8" s="18" t="s">
        <v>26</v>
      </c>
      <c r="M8" s="18" t="s">
        <v>27</v>
      </c>
      <c r="N8" s="18" t="s">
        <v>28</v>
      </c>
      <c r="O8" s="18" t="s">
        <v>29</v>
      </c>
      <c r="P8" s="18" t="s">
        <v>30</v>
      </c>
    </row>
    <row r="9" spans="1:16" x14ac:dyDescent="0.25">
      <c r="A9" s="4" t="s">
        <v>31</v>
      </c>
      <c r="B9" s="4" t="s">
        <v>32</v>
      </c>
      <c r="C9" s="4" t="s">
        <v>33</v>
      </c>
      <c r="D9" s="4">
        <v>15</v>
      </c>
      <c r="E9" s="4">
        <v>450</v>
      </c>
      <c r="F9" s="4">
        <v>436</v>
      </c>
      <c r="G9" s="4">
        <v>14</v>
      </c>
      <c r="H9" s="19">
        <v>96.888888888888886</v>
      </c>
      <c r="I9" s="19">
        <v>3.1111111111111112</v>
      </c>
      <c r="J9" s="19">
        <v>86.666666666666671</v>
      </c>
      <c r="K9" s="19">
        <v>100</v>
      </c>
      <c r="L9" s="19">
        <v>94.858756162917928</v>
      </c>
      <c r="M9" s="19">
        <v>98.919021614859844</v>
      </c>
      <c r="N9" s="19">
        <v>1.080978385140156</v>
      </c>
      <c r="O9" s="19">
        <v>5.1412438370820723</v>
      </c>
      <c r="P9" s="4"/>
    </row>
    <row r="10" spans="1:16" x14ac:dyDescent="0.25">
      <c r="A10" s="5" t="s">
        <v>31</v>
      </c>
      <c r="B10" s="5" t="s">
        <v>34</v>
      </c>
      <c r="C10" s="5" t="s">
        <v>33</v>
      </c>
      <c r="D10" s="5">
        <v>15</v>
      </c>
      <c r="E10" s="5">
        <v>450</v>
      </c>
      <c r="F10" s="5">
        <v>428</v>
      </c>
      <c r="G10" s="5">
        <v>22</v>
      </c>
      <c r="H10" s="20">
        <v>95.111111111111114</v>
      </c>
      <c r="I10" s="20">
        <v>4.8888888888888893</v>
      </c>
      <c r="J10" s="20">
        <v>83.333333333333343</v>
      </c>
      <c r="K10" s="20">
        <v>100</v>
      </c>
      <c r="L10" s="20">
        <v>92.420970361100785</v>
      </c>
      <c r="M10" s="20">
        <v>97.801251861121443</v>
      </c>
      <c r="N10" s="20">
        <v>2.1987481388785568</v>
      </c>
      <c r="O10" s="20">
        <v>7.5790296388992147</v>
      </c>
      <c r="P10" s="5"/>
    </row>
    <row r="11" spans="1:16" x14ac:dyDescent="0.25">
      <c r="A11" s="4" t="s">
        <v>31</v>
      </c>
      <c r="B11" s="4" t="s">
        <v>35</v>
      </c>
      <c r="C11" s="4" t="s">
        <v>33</v>
      </c>
      <c r="D11" s="4">
        <v>15</v>
      </c>
      <c r="E11" s="4">
        <v>450</v>
      </c>
      <c r="F11" s="4">
        <v>419</v>
      </c>
      <c r="G11" s="4">
        <v>31</v>
      </c>
      <c r="H11" s="19">
        <v>93.111111111111114</v>
      </c>
      <c r="I11" s="19">
        <v>6.8888888888888893</v>
      </c>
      <c r="J11" s="19">
        <v>86.666666666666671</v>
      </c>
      <c r="K11" s="19">
        <v>100</v>
      </c>
      <c r="L11" s="19">
        <v>90.195207140195649</v>
      </c>
      <c r="M11" s="19">
        <v>96.02701508202658</v>
      </c>
      <c r="N11" s="19">
        <v>3.9729849179734198</v>
      </c>
      <c r="O11" s="19">
        <v>9.8047928598043512</v>
      </c>
      <c r="P11" s="4"/>
    </row>
    <row r="12" spans="1:16" x14ac:dyDescent="0.25">
      <c r="A12" s="5" t="s">
        <v>31</v>
      </c>
      <c r="B12" s="5" t="s">
        <v>36</v>
      </c>
      <c r="C12" s="5" t="s">
        <v>33</v>
      </c>
      <c r="D12" s="5">
        <v>15</v>
      </c>
      <c r="E12" s="5">
        <v>450</v>
      </c>
      <c r="F12" s="5">
        <v>405</v>
      </c>
      <c r="G12" s="5">
        <v>45</v>
      </c>
      <c r="H12" s="20">
        <v>90</v>
      </c>
      <c r="I12" s="20">
        <v>10</v>
      </c>
      <c r="J12" s="20">
        <v>60</v>
      </c>
      <c r="K12" s="20">
        <v>100</v>
      </c>
      <c r="L12" s="20">
        <v>83.307904732747161</v>
      </c>
      <c r="M12" s="20">
        <v>96.692095267252839</v>
      </c>
      <c r="N12" s="20">
        <v>3.3079047327471609</v>
      </c>
      <c r="O12" s="20">
        <v>16.692095267252839</v>
      </c>
      <c r="P12" s="5"/>
    </row>
    <row r="13" spans="1:16" x14ac:dyDescent="0.25">
      <c r="A13" s="4" t="s">
        <v>31</v>
      </c>
      <c r="B13" s="4" t="s">
        <v>37</v>
      </c>
      <c r="C13" s="4" t="s">
        <v>33</v>
      </c>
      <c r="D13" s="4">
        <v>15</v>
      </c>
      <c r="E13" s="4">
        <v>450</v>
      </c>
      <c r="F13" s="4">
        <v>350</v>
      </c>
      <c r="G13" s="4">
        <v>100</v>
      </c>
      <c r="H13" s="19">
        <v>77.777777777777786</v>
      </c>
      <c r="I13" s="19">
        <v>22.222222222222221</v>
      </c>
      <c r="J13" s="19">
        <v>33.333333333333329</v>
      </c>
      <c r="K13" s="19">
        <v>100</v>
      </c>
      <c r="L13" s="19">
        <v>68.093405116572995</v>
      </c>
      <c r="M13" s="19">
        <v>87.462150438982547</v>
      </c>
      <c r="N13" s="19">
        <v>12.537849561017451</v>
      </c>
      <c r="O13" s="19">
        <v>31.906594883427001</v>
      </c>
      <c r="P13" s="4"/>
    </row>
    <row r="14" spans="1:16" x14ac:dyDescent="0.25">
      <c r="A14" s="5" t="s">
        <v>31</v>
      </c>
      <c r="B14" s="5" t="s">
        <v>38</v>
      </c>
      <c r="C14" s="5" t="s">
        <v>33</v>
      </c>
      <c r="D14" s="5">
        <v>15</v>
      </c>
      <c r="E14" s="5">
        <v>450</v>
      </c>
      <c r="F14" s="5">
        <v>216</v>
      </c>
      <c r="G14" s="5">
        <v>234</v>
      </c>
      <c r="H14" s="20">
        <v>48</v>
      </c>
      <c r="I14" s="20">
        <v>52</v>
      </c>
      <c r="J14" s="20">
        <v>0</v>
      </c>
      <c r="K14" s="20">
        <v>76.666666666666671</v>
      </c>
      <c r="L14" s="20">
        <v>35.348730547930053</v>
      </c>
      <c r="M14" s="20">
        <v>60.651269452069947</v>
      </c>
      <c r="N14" s="20">
        <v>39.348730547930053</v>
      </c>
      <c r="O14" s="20">
        <v>64.651269452069954</v>
      </c>
      <c r="P14" s="5"/>
    </row>
    <row r="15" spans="1:16" x14ac:dyDescent="0.25">
      <c r="A15" s="4" t="s">
        <v>31</v>
      </c>
      <c r="B15" s="4" t="s">
        <v>39</v>
      </c>
      <c r="C15" s="4" t="s">
        <v>33</v>
      </c>
      <c r="D15" s="4">
        <v>15</v>
      </c>
      <c r="E15" s="4">
        <v>450</v>
      </c>
      <c r="F15" s="4">
        <v>105</v>
      </c>
      <c r="G15" s="4">
        <v>345</v>
      </c>
      <c r="H15" s="19">
        <v>23.333333333333329</v>
      </c>
      <c r="I15" s="19">
        <v>76.666666666666671</v>
      </c>
      <c r="J15" s="19">
        <v>3.333333333333333</v>
      </c>
      <c r="K15" s="19">
        <v>53.333333333333343</v>
      </c>
      <c r="L15" s="19">
        <v>13.97271681246005</v>
      </c>
      <c r="M15" s="19">
        <v>32.693949854206608</v>
      </c>
      <c r="N15" s="19">
        <v>67.306050145793392</v>
      </c>
      <c r="O15" s="19">
        <v>86.02728318753995</v>
      </c>
      <c r="P15" s="4"/>
    </row>
    <row r="16" spans="1:16" x14ac:dyDescent="0.25">
      <c r="A16" s="5" t="s">
        <v>31</v>
      </c>
      <c r="B16" s="5" t="s">
        <v>40</v>
      </c>
      <c r="C16" s="5" t="s">
        <v>33</v>
      </c>
      <c r="D16" s="5">
        <v>15</v>
      </c>
      <c r="E16" s="5">
        <v>450</v>
      </c>
      <c r="F16" s="5">
        <v>26</v>
      </c>
      <c r="G16" s="5">
        <v>424</v>
      </c>
      <c r="H16" s="20">
        <v>5.7777777777777777</v>
      </c>
      <c r="I16" s="20">
        <v>94.222222222222214</v>
      </c>
      <c r="J16" s="20">
        <v>0</v>
      </c>
      <c r="K16" s="20">
        <v>16.666666666666661</v>
      </c>
      <c r="L16" s="20">
        <v>2.545188653139371</v>
      </c>
      <c r="M16" s="20">
        <v>9.0103669024161839</v>
      </c>
      <c r="N16" s="20">
        <v>90.98963309758382</v>
      </c>
      <c r="O16" s="20">
        <v>97.454811346860623</v>
      </c>
      <c r="P16" s="5"/>
    </row>
    <row r="17" spans="1:16" x14ac:dyDescent="0.25">
      <c r="A17" s="4" t="s">
        <v>4</v>
      </c>
      <c r="B17" s="4" t="s">
        <v>41</v>
      </c>
      <c r="C17" s="4" t="s">
        <v>42</v>
      </c>
      <c r="D17" s="4">
        <v>15</v>
      </c>
      <c r="E17" s="4">
        <v>450</v>
      </c>
      <c r="F17" s="4">
        <v>401</v>
      </c>
      <c r="G17" s="4">
        <v>49</v>
      </c>
      <c r="H17" s="19">
        <v>89.111111111111114</v>
      </c>
      <c r="I17" s="19">
        <v>10.888888888888889</v>
      </c>
      <c r="J17" s="19">
        <v>70</v>
      </c>
      <c r="K17" s="19">
        <v>100</v>
      </c>
      <c r="L17" s="19">
        <v>83.685780417066084</v>
      </c>
      <c r="M17" s="19">
        <v>94.536441805156144</v>
      </c>
      <c r="N17" s="19">
        <v>5.4635581948438556</v>
      </c>
      <c r="O17" s="19">
        <v>16.314219582933919</v>
      </c>
      <c r="P17" s="4"/>
    </row>
    <row r="18" spans="1:16" x14ac:dyDescent="0.25">
      <c r="A18" s="5" t="s">
        <v>4</v>
      </c>
      <c r="B18" s="5" t="s">
        <v>43</v>
      </c>
      <c r="C18" s="5" t="s">
        <v>42</v>
      </c>
      <c r="D18" s="5">
        <v>15</v>
      </c>
      <c r="E18" s="5">
        <v>450</v>
      </c>
      <c r="F18" s="5">
        <v>242</v>
      </c>
      <c r="G18" s="5">
        <v>208</v>
      </c>
      <c r="H18" s="20">
        <v>53.777777777777779</v>
      </c>
      <c r="I18" s="20">
        <v>46.222222222222221</v>
      </c>
      <c r="J18" s="20">
        <v>3.333333333333333</v>
      </c>
      <c r="K18" s="20">
        <v>86.666666666666671</v>
      </c>
      <c r="L18" s="20">
        <v>40.653118771516858</v>
      </c>
      <c r="M18" s="20">
        <v>66.902436784038699</v>
      </c>
      <c r="N18" s="20">
        <v>33.097563215961301</v>
      </c>
      <c r="O18" s="20">
        <v>59.346881228483142</v>
      </c>
      <c r="P18" s="5"/>
    </row>
    <row r="19" spans="1:16" x14ac:dyDescent="0.25">
      <c r="A19" s="4" t="s">
        <v>4</v>
      </c>
      <c r="B19" s="4" t="s">
        <v>44</v>
      </c>
      <c r="C19" s="4" t="s">
        <v>42</v>
      </c>
      <c r="D19" s="4">
        <v>15</v>
      </c>
      <c r="E19" s="4">
        <v>450</v>
      </c>
      <c r="F19" s="4">
        <v>45</v>
      </c>
      <c r="G19" s="4">
        <v>405</v>
      </c>
      <c r="H19" s="19">
        <v>10</v>
      </c>
      <c r="I19" s="19">
        <v>90</v>
      </c>
      <c r="J19" s="19">
        <v>0</v>
      </c>
      <c r="K19" s="19">
        <v>33.333333333333329</v>
      </c>
      <c r="L19" s="19">
        <v>4.7324868432911176</v>
      </c>
      <c r="M19" s="19">
        <v>15.26751315670888</v>
      </c>
      <c r="N19" s="19">
        <v>84.732486843291113</v>
      </c>
      <c r="O19" s="19">
        <v>95.267513156708887</v>
      </c>
      <c r="P19" s="4"/>
    </row>
    <row r="20" spans="1:16" ht="30" x14ac:dyDescent="0.25">
      <c r="A20" s="5" t="s">
        <v>6</v>
      </c>
      <c r="B20" s="5" t="s">
        <v>45</v>
      </c>
      <c r="C20" s="5" t="s">
        <v>46</v>
      </c>
      <c r="D20" s="5">
        <v>1</v>
      </c>
      <c r="E20" s="5">
        <v>30</v>
      </c>
      <c r="F20" s="5">
        <v>30</v>
      </c>
      <c r="G20" s="5">
        <v>0</v>
      </c>
      <c r="H20" s="20">
        <v>100</v>
      </c>
      <c r="I20" s="20">
        <v>0</v>
      </c>
      <c r="J20" s="20">
        <v>100</v>
      </c>
      <c r="K20" s="20">
        <v>100</v>
      </c>
      <c r="L20" s="20"/>
      <c r="M20" s="20"/>
      <c r="N20" s="20"/>
      <c r="O20" s="20"/>
      <c r="P20" s="5" t="s">
        <v>47</v>
      </c>
    </row>
    <row r="21" spans="1:16" ht="30" x14ac:dyDescent="0.25">
      <c r="A21" s="4" t="s">
        <v>6</v>
      </c>
      <c r="B21" s="4" t="s">
        <v>48</v>
      </c>
      <c r="C21" s="4" t="s">
        <v>46</v>
      </c>
      <c r="D21" s="4">
        <v>1</v>
      </c>
      <c r="E21" s="4">
        <v>30</v>
      </c>
      <c r="F21" s="4">
        <v>28</v>
      </c>
      <c r="G21" s="4">
        <v>2</v>
      </c>
      <c r="H21" s="19">
        <v>93.333333333333329</v>
      </c>
      <c r="I21" s="19">
        <v>6.6666666666666714</v>
      </c>
      <c r="J21" s="19">
        <v>93.333333333333329</v>
      </c>
      <c r="K21" s="19">
        <v>93.333333333333329</v>
      </c>
      <c r="L21" s="19"/>
      <c r="M21" s="19"/>
      <c r="N21" s="19"/>
      <c r="O21" s="19"/>
      <c r="P21" s="4" t="s">
        <v>47</v>
      </c>
    </row>
    <row r="22" spans="1:16" ht="30" x14ac:dyDescent="0.25">
      <c r="A22" s="5" t="s">
        <v>6</v>
      </c>
      <c r="B22" s="5" t="s">
        <v>49</v>
      </c>
      <c r="C22" s="5" t="s">
        <v>46</v>
      </c>
      <c r="D22" s="5">
        <v>1</v>
      </c>
      <c r="E22" s="5">
        <v>30</v>
      </c>
      <c r="F22" s="5">
        <v>27</v>
      </c>
      <c r="G22" s="5">
        <v>3</v>
      </c>
      <c r="H22" s="20">
        <v>90</v>
      </c>
      <c r="I22" s="20">
        <v>10</v>
      </c>
      <c r="J22" s="20">
        <v>90</v>
      </c>
      <c r="K22" s="20">
        <v>90</v>
      </c>
      <c r="L22" s="20"/>
      <c r="M22" s="20"/>
      <c r="N22" s="20"/>
      <c r="O22" s="20"/>
      <c r="P22" s="5" t="s">
        <v>47</v>
      </c>
    </row>
    <row r="23" spans="1:16" ht="30" x14ac:dyDescent="0.25">
      <c r="A23" s="4" t="s">
        <v>6</v>
      </c>
      <c r="B23" s="4" t="s">
        <v>50</v>
      </c>
      <c r="C23" s="4" t="s">
        <v>46</v>
      </c>
      <c r="D23" s="4">
        <v>1</v>
      </c>
      <c r="E23" s="4">
        <v>30</v>
      </c>
      <c r="F23" s="4">
        <v>24</v>
      </c>
      <c r="G23" s="4">
        <v>6</v>
      </c>
      <c r="H23" s="19">
        <v>80</v>
      </c>
      <c r="I23" s="19">
        <v>20</v>
      </c>
      <c r="J23" s="19">
        <v>80</v>
      </c>
      <c r="K23" s="19">
        <v>80</v>
      </c>
      <c r="L23" s="19"/>
      <c r="M23" s="19"/>
      <c r="N23" s="19"/>
      <c r="O23" s="19"/>
      <c r="P23" s="4" t="s">
        <v>47</v>
      </c>
    </row>
    <row r="24" spans="1:16" ht="30" x14ac:dyDescent="0.25">
      <c r="A24" s="5" t="s">
        <v>6</v>
      </c>
      <c r="B24" s="5" t="s">
        <v>51</v>
      </c>
      <c r="C24" s="5" t="s">
        <v>46</v>
      </c>
      <c r="D24" s="5">
        <v>1</v>
      </c>
      <c r="E24" s="5">
        <v>30</v>
      </c>
      <c r="F24" s="5">
        <v>1</v>
      </c>
      <c r="G24" s="5">
        <v>29</v>
      </c>
      <c r="H24" s="20">
        <v>3.333333333333333</v>
      </c>
      <c r="I24" s="20">
        <v>96.666666666666671</v>
      </c>
      <c r="J24" s="20">
        <v>3.333333333333333</v>
      </c>
      <c r="K24" s="20">
        <v>3.333333333333333</v>
      </c>
      <c r="L24" s="20"/>
      <c r="M24" s="20"/>
      <c r="N24" s="20"/>
      <c r="O24" s="20"/>
      <c r="P24" s="5" t="s">
        <v>47</v>
      </c>
    </row>
    <row r="25" spans="1:16" ht="30" x14ac:dyDescent="0.25">
      <c r="A25" s="4" t="s">
        <v>6</v>
      </c>
      <c r="B25" s="4" t="s">
        <v>52</v>
      </c>
      <c r="C25" s="4" t="s">
        <v>46</v>
      </c>
      <c r="D25" s="4">
        <v>1</v>
      </c>
      <c r="E25" s="4">
        <v>30</v>
      </c>
      <c r="F25" s="4">
        <v>9</v>
      </c>
      <c r="G25" s="4">
        <v>21</v>
      </c>
      <c r="H25" s="19">
        <v>30</v>
      </c>
      <c r="I25" s="19">
        <v>70</v>
      </c>
      <c r="J25" s="19">
        <v>30</v>
      </c>
      <c r="K25" s="19">
        <v>30</v>
      </c>
      <c r="L25" s="19"/>
      <c r="M25" s="19"/>
      <c r="N25" s="19"/>
      <c r="O25" s="19"/>
      <c r="P25" s="4" t="s">
        <v>47</v>
      </c>
    </row>
    <row r="26" spans="1:16" x14ac:dyDescent="0.25">
      <c r="A26" s="5" t="s">
        <v>53</v>
      </c>
      <c r="B26" s="5" t="s">
        <v>32</v>
      </c>
      <c r="C26" s="5" t="s">
        <v>54</v>
      </c>
      <c r="D26" s="5">
        <v>15</v>
      </c>
      <c r="E26" s="5">
        <v>300</v>
      </c>
      <c r="F26" s="5">
        <v>284</v>
      </c>
      <c r="G26" s="5">
        <v>16</v>
      </c>
      <c r="H26" s="20">
        <v>94.666666666666671</v>
      </c>
      <c r="I26" s="20">
        <v>5.3333333333333339</v>
      </c>
      <c r="J26" s="20">
        <v>80</v>
      </c>
      <c r="K26" s="20">
        <v>100</v>
      </c>
      <c r="L26" s="20">
        <v>91.446650865150048</v>
      </c>
      <c r="M26" s="20">
        <v>97.886682468183295</v>
      </c>
      <c r="N26" s="20">
        <v>2.1133175318167048</v>
      </c>
      <c r="O26" s="20">
        <v>8.5533491348499524</v>
      </c>
      <c r="P26" s="5"/>
    </row>
    <row r="27" spans="1:16" x14ac:dyDescent="0.25">
      <c r="A27" s="4" t="s">
        <v>53</v>
      </c>
      <c r="B27" s="4" t="s">
        <v>34</v>
      </c>
      <c r="C27" s="4" t="s">
        <v>54</v>
      </c>
      <c r="D27" s="4">
        <v>15</v>
      </c>
      <c r="E27" s="4">
        <v>300</v>
      </c>
      <c r="F27" s="4">
        <v>268</v>
      </c>
      <c r="G27" s="4">
        <v>32</v>
      </c>
      <c r="H27" s="19">
        <v>89.333333333333329</v>
      </c>
      <c r="I27" s="19">
        <v>10.66666666666667</v>
      </c>
      <c r="J27" s="19">
        <v>70</v>
      </c>
      <c r="K27" s="19">
        <v>100</v>
      </c>
      <c r="L27" s="19">
        <v>84.220574072506651</v>
      </c>
      <c r="M27" s="19">
        <v>94.446092594160007</v>
      </c>
      <c r="N27" s="19">
        <v>5.5539074058399933</v>
      </c>
      <c r="O27" s="19">
        <v>15.779425927493349</v>
      </c>
      <c r="P27" s="4"/>
    </row>
    <row r="28" spans="1:16" x14ac:dyDescent="0.25">
      <c r="A28" s="5" t="s">
        <v>53</v>
      </c>
      <c r="B28" s="5" t="s">
        <v>35</v>
      </c>
      <c r="C28" s="5" t="s">
        <v>54</v>
      </c>
      <c r="D28" s="5">
        <v>15</v>
      </c>
      <c r="E28" s="5">
        <v>300</v>
      </c>
      <c r="F28" s="5">
        <v>224</v>
      </c>
      <c r="G28" s="5">
        <v>76</v>
      </c>
      <c r="H28" s="20">
        <v>74.666666666666671</v>
      </c>
      <c r="I28" s="20">
        <v>25.333333333333339</v>
      </c>
      <c r="J28" s="20">
        <v>45</v>
      </c>
      <c r="K28" s="20">
        <v>95</v>
      </c>
      <c r="L28" s="20">
        <v>67.231995399012987</v>
      </c>
      <c r="M28" s="20">
        <v>82.101337934320355</v>
      </c>
      <c r="N28" s="20">
        <v>17.898662065679641</v>
      </c>
      <c r="O28" s="20">
        <v>32.768004600987013</v>
      </c>
      <c r="P28" s="5"/>
    </row>
    <row r="29" spans="1:16" x14ac:dyDescent="0.25">
      <c r="A29" s="4" t="s">
        <v>53</v>
      </c>
      <c r="B29" s="4" t="s">
        <v>36</v>
      </c>
      <c r="C29" s="4" t="s">
        <v>54</v>
      </c>
      <c r="D29" s="4">
        <v>15</v>
      </c>
      <c r="E29" s="4">
        <v>300</v>
      </c>
      <c r="F29" s="4">
        <v>131</v>
      </c>
      <c r="G29" s="4">
        <v>169</v>
      </c>
      <c r="H29" s="19">
        <v>43.666666666666657</v>
      </c>
      <c r="I29" s="19">
        <v>56.333333333333343</v>
      </c>
      <c r="J29" s="19">
        <v>25</v>
      </c>
      <c r="K29" s="19">
        <v>70</v>
      </c>
      <c r="L29" s="19">
        <v>36.306023176628607</v>
      </c>
      <c r="M29" s="19">
        <v>51.027310156704722</v>
      </c>
      <c r="N29" s="19">
        <v>48.972689843295278</v>
      </c>
      <c r="O29" s="19">
        <v>63.693976823371393</v>
      </c>
      <c r="P29" s="4"/>
    </row>
    <row r="30" spans="1:16" ht="30" x14ac:dyDescent="0.25">
      <c r="A30" s="5" t="s">
        <v>55</v>
      </c>
      <c r="B30" s="5" t="s">
        <v>56</v>
      </c>
      <c r="C30" s="5" t="s">
        <v>57</v>
      </c>
      <c r="D30" s="5">
        <v>10</v>
      </c>
      <c r="E30" s="5">
        <v>100</v>
      </c>
      <c r="F30" s="5">
        <v>91</v>
      </c>
      <c r="G30" s="5">
        <v>9</v>
      </c>
      <c r="H30" s="20">
        <v>91</v>
      </c>
      <c r="I30" s="20">
        <v>9</v>
      </c>
      <c r="J30" s="20">
        <v>80</v>
      </c>
      <c r="K30" s="20">
        <v>100</v>
      </c>
      <c r="L30" s="20">
        <v>85.721633286937688</v>
      </c>
      <c r="M30" s="20">
        <v>96.278366713062312</v>
      </c>
      <c r="N30" s="20">
        <v>3.721633286937688</v>
      </c>
      <c r="O30" s="20">
        <v>14.27836671306231</v>
      </c>
      <c r="P30" s="5" t="s">
        <v>58</v>
      </c>
    </row>
  </sheetData>
  <mergeCells count="5">
    <mergeCell ref="A4:P4"/>
    <mergeCell ref="A1:P1"/>
    <mergeCell ref="A5:P5"/>
    <mergeCell ref="A3:P3"/>
    <mergeCell ref="A6:P6"/>
  </mergeCells>
  <conditionalFormatting sqref="H9:H3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I9:I30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showGridLines="0" workbookViewId="0">
      <selection activeCell="A15" sqref="A15:XFD15"/>
    </sheetView>
  </sheetViews>
  <sheetFormatPr defaultColWidth="9" defaultRowHeight="15" x14ac:dyDescent="0.25"/>
  <cols>
    <col min="1" max="1" width="36" customWidth="1"/>
    <col min="2" max="2" width="95" customWidth="1"/>
  </cols>
  <sheetData>
    <row r="1" spans="1:2" x14ac:dyDescent="0.25">
      <c r="A1" s="8" t="s">
        <v>59</v>
      </c>
      <c r="B1" s="8" t="s">
        <v>60</v>
      </c>
    </row>
    <row r="2" spans="1:2" x14ac:dyDescent="0.25">
      <c r="A2" s="2" t="s">
        <v>61</v>
      </c>
      <c r="B2" s="2" t="s">
        <v>62</v>
      </c>
    </row>
    <row r="3" spans="1:2" x14ac:dyDescent="0.25">
      <c r="A3" s="2" t="s">
        <v>63</v>
      </c>
      <c r="B3" s="2" t="s">
        <v>64</v>
      </c>
    </row>
    <row r="4" spans="1:2" x14ac:dyDescent="0.25">
      <c r="A4" s="2" t="s">
        <v>65</v>
      </c>
      <c r="B4" s="2" t="s">
        <v>66</v>
      </c>
    </row>
    <row r="5" spans="1:2" x14ac:dyDescent="0.25">
      <c r="A5" s="2" t="s">
        <v>67</v>
      </c>
      <c r="B5" s="2" t="s">
        <v>68</v>
      </c>
    </row>
    <row r="6" spans="1:2" x14ac:dyDescent="0.25">
      <c r="A6" s="2" t="s">
        <v>69</v>
      </c>
      <c r="B6" s="2" t="s">
        <v>70</v>
      </c>
    </row>
    <row r="7" spans="1:2" x14ac:dyDescent="0.25">
      <c r="A7" s="2" t="s">
        <v>71</v>
      </c>
      <c r="B7" s="2" t="s">
        <v>72</v>
      </c>
    </row>
    <row r="8" spans="1:2" x14ac:dyDescent="0.25">
      <c r="A8" s="2" t="s">
        <v>73</v>
      </c>
      <c r="B8" s="2">
        <v>150</v>
      </c>
    </row>
    <row r="9" spans="1:2" x14ac:dyDescent="0.25">
      <c r="A9" s="2" t="s">
        <v>74</v>
      </c>
      <c r="B9" s="2" t="s">
        <v>75</v>
      </c>
    </row>
    <row r="10" spans="1:2" x14ac:dyDescent="0.25">
      <c r="A10" s="2" t="s">
        <v>76</v>
      </c>
      <c r="B10" s="2">
        <v>26</v>
      </c>
    </row>
    <row r="11" spans="1:2" x14ac:dyDescent="0.25">
      <c r="A11" s="2" t="s">
        <v>77</v>
      </c>
      <c r="B11" s="2" t="s">
        <v>78</v>
      </c>
    </row>
    <row r="12" spans="1:2" ht="30" customHeight="1" x14ac:dyDescent="0.25">
      <c r="A12" s="2" t="s">
        <v>79</v>
      </c>
      <c r="B12" s="2" t="s">
        <v>80</v>
      </c>
    </row>
    <row r="13" spans="1:2" x14ac:dyDescent="0.25">
      <c r="A13" s="2" t="s">
        <v>81</v>
      </c>
      <c r="B13" s="2">
        <v>115200</v>
      </c>
    </row>
    <row r="14" spans="1:2" x14ac:dyDescent="0.25">
      <c r="A14" s="9" t="s">
        <v>82</v>
      </c>
      <c r="B14" s="9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showGridLines="0" topLeftCell="A9" workbookViewId="0"/>
  </sheetViews>
  <sheetFormatPr defaultColWidth="9" defaultRowHeight="15" x14ac:dyDescent="0.25"/>
  <cols>
    <col min="1" max="2" width="16" customWidth="1"/>
    <col min="3" max="3" width="34" customWidth="1"/>
    <col min="4" max="4" width="28" customWidth="1"/>
    <col min="5" max="6" width="18" customWidth="1"/>
    <col min="7" max="7" width="20" customWidth="1"/>
    <col min="8" max="8" width="40" customWidth="1"/>
  </cols>
  <sheetData>
    <row r="1" spans="1:8" x14ac:dyDescent="0.2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 ht="30" customHeight="1" x14ac:dyDescent="0.25">
      <c r="A2" s="2">
        <v>60</v>
      </c>
      <c r="B2" s="2" t="s">
        <v>92</v>
      </c>
      <c r="C2" s="2" t="s">
        <v>93</v>
      </c>
      <c r="D2" s="2" t="s">
        <v>94</v>
      </c>
      <c r="E2" s="2" t="s">
        <v>49</v>
      </c>
      <c r="F2" s="2">
        <v>0</v>
      </c>
      <c r="G2" s="2">
        <v>150</v>
      </c>
      <c r="H2" s="2" t="s">
        <v>95</v>
      </c>
    </row>
    <row r="3" spans="1:8" ht="30" customHeight="1" x14ac:dyDescent="0.25">
      <c r="A3" s="2">
        <v>70</v>
      </c>
      <c r="B3" s="2" t="s">
        <v>96</v>
      </c>
      <c r="C3" s="2" t="s">
        <v>97</v>
      </c>
      <c r="D3" s="2" t="s">
        <v>98</v>
      </c>
      <c r="E3" s="2" t="s">
        <v>48</v>
      </c>
      <c r="F3" s="2">
        <v>0</v>
      </c>
      <c r="G3" s="2">
        <v>130</v>
      </c>
      <c r="H3" s="2" t="s">
        <v>99</v>
      </c>
    </row>
    <row r="4" spans="1:8" ht="30" customHeight="1" x14ac:dyDescent="0.25">
      <c r="A4" s="2">
        <v>80</v>
      </c>
      <c r="B4" s="2" t="s">
        <v>100</v>
      </c>
      <c r="C4" s="2" t="s">
        <v>101</v>
      </c>
      <c r="D4" s="2" t="s">
        <v>102</v>
      </c>
      <c r="E4" s="2" t="s">
        <v>51</v>
      </c>
      <c r="F4" s="2">
        <v>0</v>
      </c>
      <c r="G4" s="2">
        <v>50</v>
      </c>
      <c r="H4" s="2" t="s">
        <v>103</v>
      </c>
    </row>
    <row r="5" spans="1:8" ht="30" customHeight="1" x14ac:dyDescent="0.25">
      <c r="A5" s="2">
        <v>90</v>
      </c>
      <c r="B5" s="2" t="s">
        <v>104</v>
      </c>
      <c r="C5" s="2" t="s">
        <v>105</v>
      </c>
      <c r="D5" s="2" t="s">
        <v>94</v>
      </c>
      <c r="E5" s="2" t="s">
        <v>49</v>
      </c>
      <c r="F5" s="2">
        <v>0</v>
      </c>
      <c r="G5" s="2">
        <v>80</v>
      </c>
      <c r="H5" s="2" t="s">
        <v>106</v>
      </c>
    </row>
    <row r="6" spans="1:8" ht="30" customHeight="1" x14ac:dyDescent="0.25">
      <c r="A6" s="2">
        <v>100</v>
      </c>
      <c r="B6" s="2" t="s">
        <v>107</v>
      </c>
      <c r="C6" s="2" t="s">
        <v>108</v>
      </c>
      <c r="D6" s="2" t="s">
        <v>109</v>
      </c>
      <c r="E6" s="2" t="s">
        <v>49</v>
      </c>
      <c r="F6" s="2">
        <v>0</v>
      </c>
      <c r="G6" s="2">
        <v>10</v>
      </c>
      <c r="H6" s="2" t="s">
        <v>110</v>
      </c>
    </row>
    <row r="7" spans="1:8" ht="30" customHeight="1" x14ac:dyDescent="0.25">
      <c r="A7" s="2">
        <v>110</v>
      </c>
      <c r="B7" s="2" t="s">
        <v>111</v>
      </c>
      <c r="C7" s="2" t="s">
        <v>112</v>
      </c>
      <c r="D7" s="2" t="s">
        <v>98</v>
      </c>
      <c r="E7" s="2" t="s">
        <v>48</v>
      </c>
      <c r="F7" s="2">
        <v>0</v>
      </c>
      <c r="G7" s="2">
        <v>35</v>
      </c>
      <c r="H7" s="2" t="s">
        <v>113</v>
      </c>
    </row>
    <row r="8" spans="1:8" ht="30" customHeight="1" x14ac:dyDescent="0.25">
      <c r="A8" s="2">
        <v>120</v>
      </c>
      <c r="B8" s="2" t="s">
        <v>114</v>
      </c>
      <c r="C8" s="2" t="s">
        <v>115</v>
      </c>
      <c r="D8" s="2" t="s">
        <v>109</v>
      </c>
      <c r="E8" s="2" t="s">
        <v>49</v>
      </c>
      <c r="F8" s="2">
        <v>0</v>
      </c>
      <c r="G8" s="2">
        <v>40</v>
      </c>
      <c r="H8" s="2" t="s">
        <v>116</v>
      </c>
    </row>
    <row r="9" spans="1:8" ht="30" customHeight="1" x14ac:dyDescent="0.25">
      <c r="A9" s="2">
        <v>130</v>
      </c>
      <c r="B9" s="2" t="s">
        <v>117</v>
      </c>
      <c r="C9" s="2" t="s">
        <v>118</v>
      </c>
      <c r="D9" s="2" t="s">
        <v>94</v>
      </c>
      <c r="E9" s="2" t="s">
        <v>49</v>
      </c>
      <c r="F9" s="2">
        <v>0</v>
      </c>
      <c r="G9" s="2">
        <v>72</v>
      </c>
      <c r="H9" s="2" t="s">
        <v>116</v>
      </c>
    </row>
    <row r="10" spans="1:8" ht="30" customHeight="1" x14ac:dyDescent="0.25">
      <c r="A10" s="2">
        <v>140</v>
      </c>
      <c r="B10" s="2" t="s">
        <v>119</v>
      </c>
      <c r="C10" s="2" t="s">
        <v>120</v>
      </c>
      <c r="D10" s="2" t="s">
        <v>121</v>
      </c>
      <c r="E10" s="2" t="s">
        <v>49</v>
      </c>
      <c r="F10" s="2">
        <v>0</v>
      </c>
      <c r="G10" s="2">
        <v>44</v>
      </c>
      <c r="H10" s="2" t="s">
        <v>116</v>
      </c>
    </row>
    <row r="11" spans="1:8" ht="30" customHeight="1" x14ac:dyDescent="0.25">
      <c r="A11" s="2">
        <v>150</v>
      </c>
      <c r="B11" s="2" t="s">
        <v>122</v>
      </c>
      <c r="C11" s="2" t="s">
        <v>123</v>
      </c>
      <c r="D11" s="2" t="s">
        <v>98</v>
      </c>
      <c r="E11" s="2" t="s">
        <v>48</v>
      </c>
      <c r="F11" s="2">
        <v>0</v>
      </c>
      <c r="G11" s="2">
        <v>22</v>
      </c>
      <c r="H11" s="2" t="s">
        <v>124</v>
      </c>
    </row>
    <row r="12" spans="1:8" ht="30" customHeight="1" x14ac:dyDescent="0.25">
      <c r="A12" s="2">
        <v>160</v>
      </c>
      <c r="B12" s="2" t="s">
        <v>125</v>
      </c>
      <c r="C12" s="2" t="s">
        <v>126</v>
      </c>
      <c r="D12" s="2" t="s">
        <v>98</v>
      </c>
      <c r="E12" s="2" t="s">
        <v>48</v>
      </c>
      <c r="F12" s="2">
        <v>0</v>
      </c>
      <c r="G12" s="2">
        <v>32</v>
      </c>
      <c r="H12" s="2" t="s">
        <v>116</v>
      </c>
    </row>
    <row r="13" spans="1:8" ht="30" customHeight="1" x14ac:dyDescent="0.25">
      <c r="A13" s="2">
        <v>170</v>
      </c>
      <c r="B13" s="2" t="s">
        <v>127</v>
      </c>
      <c r="C13" s="2" t="s">
        <v>128</v>
      </c>
      <c r="D13" s="2" t="s">
        <v>129</v>
      </c>
      <c r="E13" s="2" t="s">
        <v>52</v>
      </c>
      <c r="F13" s="2">
        <v>0</v>
      </c>
      <c r="G13" s="2">
        <v>55</v>
      </c>
      <c r="H13" s="2" t="s">
        <v>130</v>
      </c>
    </row>
    <row r="14" spans="1:8" ht="30" customHeight="1" x14ac:dyDescent="0.25">
      <c r="A14" s="2">
        <v>180</v>
      </c>
      <c r="B14" s="2" t="s">
        <v>131</v>
      </c>
      <c r="C14" s="2" t="s">
        <v>132</v>
      </c>
      <c r="D14" s="2" t="s">
        <v>133</v>
      </c>
      <c r="E14" s="2" t="s">
        <v>48</v>
      </c>
      <c r="F14" s="2">
        <v>0</v>
      </c>
      <c r="G14" s="2">
        <v>68</v>
      </c>
      <c r="H14" s="2" t="s">
        <v>116</v>
      </c>
    </row>
    <row r="15" spans="1:8" ht="30" customHeight="1" x14ac:dyDescent="0.25">
      <c r="A15" s="2">
        <v>190</v>
      </c>
      <c r="B15" s="2" t="s">
        <v>134</v>
      </c>
      <c r="C15" s="2" t="s">
        <v>135</v>
      </c>
      <c r="D15" s="2" t="s">
        <v>136</v>
      </c>
      <c r="E15" s="2" t="s">
        <v>49</v>
      </c>
      <c r="F15" s="2">
        <v>0</v>
      </c>
      <c r="G15" s="2">
        <v>88</v>
      </c>
      <c r="H15" s="2" t="s">
        <v>116</v>
      </c>
    </row>
    <row r="16" spans="1:8" ht="30" customHeight="1" x14ac:dyDescent="0.25">
      <c r="A16" s="2">
        <v>200</v>
      </c>
      <c r="B16" s="2" t="s">
        <v>137</v>
      </c>
      <c r="C16" s="2" t="s">
        <v>138</v>
      </c>
      <c r="D16" s="2" t="s">
        <v>139</v>
      </c>
      <c r="E16" s="2" t="s">
        <v>52</v>
      </c>
      <c r="F16" s="2">
        <v>0</v>
      </c>
      <c r="G16" s="2">
        <v>110</v>
      </c>
      <c r="H16" s="2" t="s">
        <v>130</v>
      </c>
    </row>
    <row r="17" spans="1:8" ht="30" customHeight="1" x14ac:dyDescent="0.25">
      <c r="A17" s="2">
        <v>210</v>
      </c>
      <c r="B17" s="2" t="s">
        <v>140</v>
      </c>
      <c r="C17" s="4" t="s">
        <v>141</v>
      </c>
      <c r="D17" s="2" t="s">
        <v>142</v>
      </c>
      <c r="E17" s="2" t="s">
        <v>49</v>
      </c>
      <c r="F17" s="2">
        <v>0</v>
      </c>
      <c r="G17" s="2">
        <v>120</v>
      </c>
      <c r="H17" s="2" t="s">
        <v>116</v>
      </c>
    </row>
    <row r="18" spans="1:8" ht="30" customHeight="1" x14ac:dyDescent="0.25">
      <c r="A18" s="2">
        <v>220</v>
      </c>
      <c r="B18" s="2" t="s">
        <v>143</v>
      </c>
      <c r="C18" s="2" t="s">
        <v>144</v>
      </c>
      <c r="D18" s="2" t="s">
        <v>145</v>
      </c>
      <c r="E18" s="2" t="s">
        <v>45</v>
      </c>
      <c r="F18" s="2">
        <v>0</v>
      </c>
      <c r="G18" s="2">
        <v>136</v>
      </c>
      <c r="H18" s="2" t="s">
        <v>116</v>
      </c>
    </row>
    <row r="19" spans="1:8" ht="30" customHeight="1" x14ac:dyDescent="0.25">
      <c r="A19" s="2">
        <v>230</v>
      </c>
      <c r="B19" s="2" t="s">
        <v>146</v>
      </c>
      <c r="C19" s="2" t="s">
        <v>147</v>
      </c>
      <c r="D19" s="2" t="s">
        <v>148</v>
      </c>
      <c r="E19" s="2" t="s">
        <v>50</v>
      </c>
      <c r="F19" s="2">
        <v>0</v>
      </c>
      <c r="G19" s="2">
        <v>150</v>
      </c>
      <c r="H19" s="2" t="s">
        <v>149</v>
      </c>
    </row>
    <row r="20" spans="1:8" ht="30" customHeight="1" x14ac:dyDescent="0.25">
      <c r="A20" s="2">
        <v>240</v>
      </c>
      <c r="B20" s="2" t="s">
        <v>150</v>
      </c>
      <c r="C20" s="2" t="s">
        <v>151</v>
      </c>
      <c r="D20" s="2" t="s">
        <v>152</v>
      </c>
      <c r="E20" s="2" t="s">
        <v>48</v>
      </c>
      <c r="F20" s="2">
        <v>0</v>
      </c>
      <c r="G20" s="2">
        <v>170</v>
      </c>
      <c r="H20" s="2" t="s">
        <v>116</v>
      </c>
    </row>
    <row r="21" spans="1:8" ht="30" customHeight="1" x14ac:dyDescent="0.25">
      <c r="A21" s="2">
        <v>250</v>
      </c>
      <c r="B21" s="2" t="s">
        <v>153</v>
      </c>
      <c r="C21" s="2" t="s">
        <v>154</v>
      </c>
      <c r="D21" s="2" t="s">
        <v>155</v>
      </c>
      <c r="E21" s="2" t="s">
        <v>45</v>
      </c>
      <c r="F21" s="2">
        <v>0</v>
      </c>
      <c r="G21" s="2">
        <v>190</v>
      </c>
      <c r="H21" s="2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1"/>
  <sheetViews>
    <sheetView showGridLines="0" topLeftCell="A107" workbookViewId="0">
      <selection activeCell="K42" sqref="K42"/>
    </sheetView>
  </sheetViews>
  <sheetFormatPr defaultColWidth="9" defaultRowHeight="15" x14ac:dyDescent="0.25"/>
  <cols>
    <col min="1" max="1" width="17" customWidth="1"/>
    <col min="2" max="2" width="15" customWidth="1"/>
    <col min="3" max="3" width="12" customWidth="1"/>
    <col min="4" max="4" width="13" customWidth="1"/>
    <col min="5" max="5" width="11" customWidth="1"/>
    <col min="6" max="7" width="15" customWidth="1"/>
    <col min="8" max="8" width="12" customWidth="1"/>
    <col min="9" max="10" width="10" customWidth="1"/>
    <col min="11" max="11" width="14" customWidth="1"/>
    <col min="12" max="12" width="22" customWidth="1"/>
    <col min="13" max="13" width="58" customWidth="1"/>
    <col min="14" max="14" width="13" customWidth="1"/>
    <col min="15" max="15" width="19" customWidth="1"/>
  </cols>
  <sheetData>
    <row r="1" spans="1:15" ht="30" x14ac:dyDescent="0.25">
      <c r="A1" s="8" t="s">
        <v>157</v>
      </c>
      <c r="B1" s="8" t="s">
        <v>84</v>
      </c>
      <c r="C1" s="8" t="s">
        <v>158</v>
      </c>
      <c r="D1" s="8" t="s">
        <v>85</v>
      </c>
      <c r="E1" s="8" t="s">
        <v>159</v>
      </c>
      <c r="F1" s="8" t="s">
        <v>160</v>
      </c>
      <c r="G1" s="8" t="s">
        <v>161</v>
      </c>
      <c r="H1" s="8" t="s">
        <v>162</v>
      </c>
      <c r="I1" s="8" t="s">
        <v>163</v>
      </c>
      <c r="J1" s="8" t="s">
        <v>164</v>
      </c>
      <c r="K1" s="8" t="s">
        <v>89</v>
      </c>
      <c r="L1" s="8" t="s">
        <v>165</v>
      </c>
      <c r="M1" s="8" t="s">
        <v>91</v>
      </c>
      <c r="N1" s="10" t="s">
        <v>166</v>
      </c>
      <c r="O1" s="10" t="s">
        <v>167</v>
      </c>
    </row>
    <row r="2" spans="1:15" ht="30" x14ac:dyDescent="0.25">
      <c r="A2" s="2">
        <v>150</v>
      </c>
      <c r="B2" s="2">
        <v>110</v>
      </c>
      <c r="C2" s="3">
        <v>0.5</v>
      </c>
      <c r="D2" s="2" t="s">
        <v>111</v>
      </c>
      <c r="E2" s="2">
        <v>30</v>
      </c>
      <c r="F2" s="2">
        <v>30</v>
      </c>
      <c r="G2" s="3">
        <f t="shared" ref="G2:G33" si="0">IF(E2&gt;0,F2/E2*100,"")</f>
        <v>100</v>
      </c>
      <c r="H2" s="3">
        <v>-47.8</v>
      </c>
      <c r="I2" s="3">
        <v>-54.5</v>
      </c>
      <c r="J2" s="3">
        <v>-45</v>
      </c>
      <c r="K2" s="2">
        <v>0</v>
      </c>
      <c r="L2" s="2" t="s">
        <v>48</v>
      </c>
      <c r="M2" s="2" t="s">
        <v>168</v>
      </c>
      <c r="N2" s="6">
        <v>0</v>
      </c>
      <c r="O2" s="7">
        <f t="shared" ref="O2:O33" si="1">IF(E2&gt;0,N2/E2*100,"")</f>
        <v>0</v>
      </c>
    </row>
    <row r="3" spans="1:15" ht="30" x14ac:dyDescent="0.25">
      <c r="A3" s="2">
        <v>150</v>
      </c>
      <c r="B3" s="2">
        <v>110</v>
      </c>
      <c r="C3" s="3">
        <v>1</v>
      </c>
      <c r="D3" s="2" t="s">
        <v>111</v>
      </c>
      <c r="E3" s="2">
        <v>30</v>
      </c>
      <c r="F3" s="2">
        <v>25</v>
      </c>
      <c r="G3" s="3">
        <f t="shared" si="0"/>
        <v>83.333333333333343</v>
      </c>
      <c r="H3" s="3">
        <v>-56.3</v>
      </c>
      <c r="I3" s="3">
        <v>-65.5</v>
      </c>
      <c r="J3" s="3">
        <v>-53.5</v>
      </c>
      <c r="K3" s="2">
        <v>0</v>
      </c>
      <c r="L3" s="2" t="s">
        <v>48</v>
      </c>
      <c r="M3" s="2" t="s">
        <v>169</v>
      </c>
      <c r="N3" s="6">
        <v>5</v>
      </c>
      <c r="O3" s="7">
        <f t="shared" si="1"/>
        <v>16.666666666666664</v>
      </c>
    </row>
    <row r="4" spans="1:15" ht="30" customHeight="1" x14ac:dyDescent="0.25">
      <c r="A4" s="2">
        <v>150</v>
      </c>
      <c r="B4" s="2">
        <v>110</v>
      </c>
      <c r="C4" s="3">
        <v>1.5</v>
      </c>
      <c r="D4" s="2" t="s">
        <v>111</v>
      </c>
      <c r="E4" s="2">
        <v>30</v>
      </c>
      <c r="F4" s="2">
        <v>29</v>
      </c>
      <c r="G4" s="3">
        <f t="shared" si="0"/>
        <v>96.666666666666671</v>
      </c>
      <c r="H4" s="3">
        <v>-67.099999999999994</v>
      </c>
      <c r="I4" s="3">
        <v>-75.5</v>
      </c>
      <c r="J4" s="3">
        <v>-63.5</v>
      </c>
      <c r="K4" s="2">
        <v>0</v>
      </c>
      <c r="L4" s="2" t="s">
        <v>48</v>
      </c>
      <c r="M4" s="2" t="s">
        <v>168</v>
      </c>
      <c r="N4" s="6">
        <v>1</v>
      </c>
      <c r="O4" s="7">
        <f t="shared" si="1"/>
        <v>3.3333333333333335</v>
      </c>
    </row>
    <row r="5" spans="1:15" ht="30" customHeight="1" x14ac:dyDescent="0.25">
      <c r="A5" s="2">
        <v>150</v>
      </c>
      <c r="B5" s="2">
        <v>110</v>
      </c>
      <c r="C5" s="3">
        <v>2</v>
      </c>
      <c r="D5" s="2" t="s">
        <v>111</v>
      </c>
      <c r="E5" s="2">
        <v>30</v>
      </c>
      <c r="F5" s="2">
        <v>28</v>
      </c>
      <c r="G5" s="3">
        <f t="shared" si="0"/>
        <v>93.333333333333329</v>
      </c>
      <c r="H5" s="3">
        <v>-66.5</v>
      </c>
      <c r="I5" s="3">
        <v>-74.5</v>
      </c>
      <c r="J5" s="3">
        <v>-63.5</v>
      </c>
      <c r="K5" s="2">
        <v>0</v>
      </c>
      <c r="L5" s="2" t="s">
        <v>48</v>
      </c>
      <c r="M5" s="2" t="s">
        <v>168</v>
      </c>
      <c r="N5" s="6">
        <v>2</v>
      </c>
      <c r="O5" s="7">
        <f t="shared" si="1"/>
        <v>6.666666666666667</v>
      </c>
    </row>
    <row r="6" spans="1:15" ht="30" customHeight="1" x14ac:dyDescent="0.25">
      <c r="A6" s="2">
        <v>150</v>
      </c>
      <c r="B6" s="2">
        <v>110</v>
      </c>
      <c r="C6" s="3">
        <v>2.5</v>
      </c>
      <c r="D6" s="2" t="s">
        <v>111</v>
      </c>
      <c r="E6" s="2">
        <v>30</v>
      </c>
      <c r="F6" s="2">
        <v>22</v>
      </c>
      <c r="G6" s="3">
        <f t="shared" si="0"/>
        <v>73.333333333333329</v>
      </c>
      <c r="H6" s="3">
        <v>-73</v>
      </c>
      <c r="I6" s="3">
        <v>-74.5</v>
      </c>
      <c r="J6" s="3">
        <v>-71.5</v>
      </c>
      <c r="K6" s="2">
        <v>0</v>
      </c>
      <c r="L6" s="2" t="s">
        <v>48</v>
      </c>
      <c r="M6" s="2" t="s">
        <v>169</v>
      </c>
      <c r="N6" s="6">
        <v>8</v>
      </c>
      <c r="O6" s="7">
        <f t="shared" si="1"/>
        <v>26.666666666666668</v>
      </c>
    </row>
    <row r="7" spans="1:15" ht="30" customHeight="1" x14ac:dyDescent="0.25">
      <c r="A7" s="2">
        <v>150</v>
      </c>
      <c r="B7" s="2">
        <v>110</v>
      </c>
      <c r="C7" s="3">
        <v>3</v>
      </c>
      <c r="D7" s="2" t="s">
        <v>111</v>
      </c>
      <c r="E7" s="2">
        <v>30</v>
      </c>
      <c r="F7" s="2">
        <v>23</v>
      </c>
      <c r="G7" s="3">
        <f t="shared" si="0"/>
        <v>76.666666666666671</v>
      </c>
      <c r="H7" s="3">
        <v>-72.2</v>
      </c>
      <c r="I7" s="3">
        <v>-74.5</v>
      </c>
      <c r="J7" s="3">
        <v>-69.5</v>
      </c>
      <c r="K7" s="2">
        <v>0</v>
      </c>
      <c r="L7" s="2" t="s">
        <v>48</v>
      </c>
      <c r="M7" s="2" t="s">
        <v>169</v>
      </c>
      <c r="N7" s="6">
        <v>7</v>
      </c>
      <c r="O7" s="7">
        <f t="shared" si="1"/>
        <v>23.333333333333332</v>
      </c>
    </row>
    <row r="8" spans="1:15" ht="30" customHeight="1" x14ac:dyDescent="0.25">
      <c r="A8" s="2">
        <v>150</v>
      </c>
      <c r="B8" s="2">
        <v>110</v>
      </c>
      <c r="C8" s="3">
        <v>3.5</v>
      </c>
      <c r="D8" s="2" t="s">
        <v>111</v>
      </c>
      <c r="E8" s="2">
        <v>30</v>
      </c>
      <c r="F8" s="2">
        <v>2</v>
      </c>
      <c r="G8" s="3">
        <f t="shared" si="0"/>
        <v>6.666666666666667</v>
      </c>
      <c r="H8" s="3">
        <v>-80</v>
      </c>
      <c r="I8" s="3">
        <v>-80.5</v>
      </c>
      <c r="J8" s="3">
        <v>-79.5</v>
      </c>
      <c r="K8" s="2">
        <v>0</v>
      </c>
      <c r="L8" s="2" t="s">
        <v>48</v>
      </c>
      <c r="M8" s="2" t="s">
        <v>170</v>
      </c>
      <c r="N8" s="6">
        <v>28</v>
      </c>
      <c r="O8" s="7">
        <f t="shared" si="1"/>
        <v>93.333333333333329</v>
      </c>
    </row>
    <row r="9" spans="1:15" ht="30" customHeight="1" x14ac:dyDescent="0.25">
      <c r="A9" s="2">
        <v>150</v>
      </c>
      <c r="B9" s="2">
        <v>110</v>
      </c>
      <c r="C9" s="3">
        <v>4</v>
      </c>
      <c r="D9" s="2" t="s">
        <v>111</v>
      </c>
      <c r="E9" s="2">
        <v>30</v>
      </c>
      <c r="F9" s="2">
        <v>5</v>
      </c>
      <c r="G9" s="3">
        <f t="shared" si="0"/>
        <v>16.666666666666664</v>
      </c>
      <c r="H9" s="3">
        <v>-79.2</v>
      </c>
      <c r="I9" s="3">
        <v>-80</v>
      </c>
      <c r="J9" s="3">
        <v>-78</v>
      </c>
      <c r="K9" s="2">
        <v>0</v>
      </c>
      <c r="L9" s="2" t="s">
        <v>48</v>
      </c>
      <c r="M9" s="2" t="s">
        <v>170</v>
      </c>
      <c r="N9" s="6">
        <v>25</v>
      </c>
      <c r="O9" s="7">
        <f t="shared" si="1"/>
        <v>83.333333333333343</v>
      </c>
    </row>
    <row r="10" spans="1:15" ht="30" x14ac:dyDescent="0.25">
      <c r="A10" s="2">
        <v>150</v>
      </c>
      <c r="B10" s="2">
        <v>120</v>
      </c>
      <c r="C10" s="3">
        <v>0.5</v>
      </c>
      <c r="D10" s="2" t="s">
        <v>114</v>
      </c>
      <c r="E10" s="2">
        <v>30</v>
      </c>
      <c r="F10" s="2">
        <v>30</v>
      </c>
      <c r="G10" s="3">
        <f t="shared" si="0"/>
        <v>100</v>
      </c>
      <c r="H10" s="3">
        <v>-44.2</v>
      </c>
      <c r="I10" s="3">
        <v>-47</v>
      </c>
      <c r="J10" s="3">
        <v>-41</v>
      </c>
      <c r="K10" s="2">
        <v>0</v>
      </c>
      <c r="L10" s="2" t="s">
        <v>49</v>
      </c>
      <c r="M10" s="2" t="s">
        <v>168</v>
      </c>
      <c r="N10" s="6">
        <v>0</v>
      </c>
      <c r="O10" s="7">
        <f t="shared" si="1"/>
        <v>0</v>
      </c>
    </row>
    <row r="11" spans="1:15" ht="30" x14ac:dyDescent="0.25">
      <c r="A11" s="2">
        <v>150</v>
      </c>
      <c r="B11" s="2">
        <v>120</v>
      </c>
      <c r="C11" s="3">
        <v>1</v>
      </c>
      <c r="D11" s="2" t="s">
        <v>114</v>
      </c>
      <c r="E11" s="2">
        <v>30</v>
      </c>
      <c r="F11" s="2">
        <v>28</v>
      </c>
      <c r="G11" s="3">
        <f t="shared" si="0"/>
        <v>93.333333333333329</v>
      </c>
      <c r="H11" s="3">
        <v>-54.3</v>
      </c>
      <c r="I11" s="3">
        <v>-59.5</v>
      </c>
      <c r="J11" s="3">
        <v>-51.5</v>
      </c>
      <c r="K11" s="2">
        <v>0</v>
      </c>
      <c r="L11" s="2" t="s">
        <v>49</v>
      </c>
      <c r="M11" s="2" t="s">
        <v>168</v>
      </c>
      <c r="N11" s="6">
        <v>2</v>
      </c>
      <c r="O11" s="7">
        <f t="shared" si="1"/>
        <v>6.666666666666667</v>
      </c>
    </row>
    <row r="12" spans="1:15" ht="30" x14ac:dyDescent="0.25">
      <c r="A12" s="2">
        <v>150</v>
      </c>
      <c r="B12" s="2">
        <v>120</v>
      </c>
      <c r="C12" s="3">
        <v>1.5</v>
      </c>
      <c r="D12" s="2" t="s">
        <v>114</v>
      </c>
      <c r="E12" s="2">
        <v>30</v>
      </c>
      <c r="F12" s="2">
        <v>30</v>
      </c>
      <c r="G12" s="3">
        <f t="shared" si="0"/>
        <v>100</v>
      </c>
      <c r="H12" s="3">
        <v>-65.7</v>
      </c>
      <c r="I12" s="3">
        <v>-71</v>
      </c>
      <c r="J12" s="3">
        <v>-62</v>
      </c>
      <c r="K12" s="2">
        <v>0</v>
      </c>
      <c r="L12" s="2" t="s">
        <v>49</v>
      </c>
      <c r="M12" s="2" t="s">
        <v>168</v>
      </c>
      <c r="N12" s="6">
        <v>0</v>
      </c>
      <c r="O12" s="7">
        <f t="shared" si="1"/>
        <v>0</v>
      </c>
    </row>
    <row r="13" spans="1:15" ht="30" customHeight="1" x14ac:dyDescent="0.25">
      <c r="A13" s="2">
        <v>150</v>
      </c>
      <c r="B13" s="2">
        <v>120</v>
      </c>
      <c r="C13" s="3">
        <v>2</v>
      </c>
      <c r="D13" s="2" t="s">
        <v>114</v>
      </c>
      <c r="E13" s="2">
        <v>30</v>
      </c>
      <c r="F13" s="2">
        <v>29</v>
      </c>
      <c r="G13" s="3">
        <f t="shared" si="0"/>
        <v>96.666666666666671</v>
      </c>
      <c r="H13" s="3">
        <v>-66.599999999999994</v>
      </c>
      <c r="I13" s="3">
        <v>-70.5</v>
      </c>
      <c r="J13" s="3">
        <v>-62.5</v>
      </c>
      <c r="K13" s="2">
        <v>0</v>
      </c>
      <c r="L13" s="2" t="s">
        <v>49</v>
      </c>
      <c r="M13" s="2" t="s">
        <v>168</v>
      </c>
      <c r="N13" s="6">
        <v>1</v>
      </c>
      <c r="O13" s="7">
        <f t="shared" si="1"/>
        <v>3.3333333333333335</v>
      </c>
    </row>
    <row r="14" spans="1:15" ht="30" customHeight="1" x14ac:dyDescent="0.25">
      <c r="A14" s="2">
        <v>150</v>
      </c>
      <c r="B14" s="2">
        <v>120</v>
      </c>
      <c r="C14" s="3">
        <v>2.5</v>
      </c>
      <c r="D14" s="2" t="s">
        <v>114</v>
      </c>
      <c r="E14" s="2">
        <v>30</v>
      </c>
      <c r="F14" s="2">
        <v>29</v>
      </c>
      <c r="G14" s="3">
        <f t="shared" si="0"/>
        <v>96.666666666666671</v>
      </c>
      <c r="H14" s="3">
        <v>-69.7</v>
      </c>
      <c r="I14" s="3">
        <v>-72</v>
      </c>
      <c r="J14" s="3">
        <v>-67.5</v>
      </c>
      <c r="K14" s="2">
        <v>0</v>
      </c>
      <c r="L14" s="2" t="s">
        <v>49</v>
      </c>
      <c r="M14" s="2" t="s">
        <v>168</v>
      </c>
      <c r="N14" s="6">
        <v>1</v>
      </c>
      <c r="O14" s="7">
        <f t="shared" si="1"/>
        <v>3.3333333333333335</v>
      </c>
    </row>
    <row r="15" spans="1:15" ht="30" customHeight="1" x14ac:dyDescent="0.25">
      <c r="A15" s="2">
        <v>150</v>
      </c>
      <c r="B15" s="2">
        <v>120</v>
      </c>
      <c r="C15" s="3">
        <v>3</v>
      </c>
      <c r="D15" s="2" t="s">
        <v>114</v>
      </c>
      <c r="E15" s="2">
        <v>30</v>
      </c>
      <c r="F15" s="2">
        <v>15</v>
      </c>
      <c r="G15" s="3">
        <f t="shared" si="0"/>
        <v>50</v>
      </c>
      <c r="H15" s="3">
        <v>-75.400000000000006</v>
      </c>
      <c r="I15" s="3">
        <v>-77.5</v>
      </c>
      <c r="J15" s="3">
        <v>-73.5</v>
      </c>
      <c r="K15" s="2">
        <v>0</v>
      </c>
      <c r="L15" s="2" t="s">
        <v>49</v>
      </c>
      <c r="M15" s="2" t="s">
        <v>170</v>
      </c>
      <c r="N15" s="6">
        <v>15</v>
      </c>
      <c r="O15" s="7">
        <f t="shared" si="1"/>
        <v>50</v>
      </c>
    </row>
    <row r="16" spans="1:15" ht="30" customHeight="1" x14ac:dyDescent="0.25">
      <c r="A16" s="2">
        <v>150</v>
      </c>
      <c r="B16" s="2">
        <v>120</v>
      </c>
      <c r="C16" s="3">
        <v>3.5</v>
      </c>
      <c r="D16" s="2" t="s">
        <v>114</v>
      </c>
      <c r="E16" s="2">
        <v>30</v>
      </c>
      <c r="F16" s="2">
        <v>14</v>
      </c>
      <c r="G16" s="3">
        <f t="shared" si="0"/>
        <v>46.666666666666664</v>
      </c>
      <c r="H16" s="3">
        <v>-75.599999999999994</v>
      </c>
      <c r="I16" s="3">
        <v>-78.5</v>
      </c>
      <c r="J16" s="3">
        <v>-72.5</v>
      </c>
      <c r="K16" s="2">
        <v>0</v>
      </c>
      <c r="L16" s="2" t="s">
        <v>49</v>
      </c>
      <c r="M16" s="2" t="s">
        <v>170</v>
      </c>
      <c r="N16" s="6">
        <v>16</v>
      </c>
      <c r="O16" s="7">
        <f t="shared" si="1"/>
        <v>53.333333333333336</v>
      </c>
    </row>
    <row r="17" spans="1:15" ht="30" customHeight="1" x14ac:dyDescent="0.25">
      <c r="A17" s="2">
        <v>150</v>
      </c>
      <c r="B17" s="2">
        <v>120</v>
      </c>
      <c r="C17" s="3">
        <v>4</v>
      </c>
      <c r="D17" s="2" t="s">
        <v>114</v>
      </c>
      <c r="E17" s="2">
        <v>30</v>
      </c>
      <c r="F17" s="2">
        <v>4</v>
      </c>
      <c r="G17" s="3">
        <f t="shared" si="0"/>
        <v>13.333333333333334</v>
      </c>
      <c r="H17" s="3">
        <v>-81.8</v>
      </c>
      <c r="I17" s="3">
        <v>-84</v>
      </c>
      <c r="J17" s="3">
        <v>-80</v>
      </c>
      <c r="K17" s="2">
        <v>0</v>
      </c>
      <c r="L17" s="2" t="s">
        <v>49</v>
      </c>
      <c r="M17" s="2" t="s">
        <v>170</v>
      </c>
      <c r="N17" s="6">
        <v>26</v>
      </c>
      <c r="O17" s="7">
        <f t="shared" si="1"/>
        <v>86.666666666666671</v>
      </c>
    </row>
    <row r="18" spans="1:15" ht="30" x14ac:dyDescent="0.25">
      <c r="A18" s="2">
        <v>150</v>
      </c>
      <c r="B18" s="2">
        <v>130</v>
      </c>
      <c r="C18" s="3">
        <v>0.5</v>
      </c>
      <c r="D18" s="2" t="s">
        <v>117</v>
      </c>
      <c r="E18" s="2">
        <v>30</v>
      </c>
      <c r="F18" s="2">
        <v>30</v>
      </c>
      <c r="G18" s="3">
        <f t="shared" si="0"/>
        <v>100</v>
      </c>
      <c r="H18" s="3">
        <v>-43.3</v>
      </c>
      <c r="I18" s="3">
        <v>-47.5</v>
      </c>
      <c r="J18" s="3">
        <v>-41</v>
      </c>
      <c r="K18" s="2">
        <v>0</v>
      </c>
      <c r="L18" s="2" t="s">
        <v>49</v>
      </c>
      <c r="M18" s="2" t="s">
        <v>168</v>
      </c>
      <c r="N18" s="6">
        <v>0</v>
      </c>
      <c r="O18" s="7">
        <f t="shared" si="1"/>
        <v>0</v>
      </c>
    </row>
    <row r="19" spans="1:15" ht="30" x14ac:dyDescent="0.25">
      <c r="A19" s="2">
        <v>150</v>
      </c>
      <c r="B19" s="2">
        <v>130</v>
      </c>
      <c r="C19" s="3">
        <v>1</v>
      </c>
      <c r="D19" s="2" t="s">
        <v>117</v>
      </c>
      <c r="E19" s="2">
        <v>30</v>
      </c>
      <c r="F19" s="2">
        <v>30</v>
      </c>
      <c r="G19" s="3">
        <f t="shared" si="0"/>
        <v>100</v>
      </c>
      <c r="H19" s="3">
        <v>-55.1</v>
      </c>
      <c r="I19" s="3">
        <v>-58.5</v>
      </c>
      <c r="J19" s="3">
        <v>-52</v>
      </c>
      <c r="K19" s="2">
        <v>0</v>
      </c>
      <c r="L19" s="2" t="s">
        <v>49</v>
      </c>
      <c r="M19" s="2" t="s">
        <v>168</v>
      </c>
      <c r="N19" s="6">
        <v>0</v>
      </c>
      <c r="O19" s="7">
        <f t="shared" si="1"/>
        <v>0</v>
      </c>
    </row>
    <row r="20" spans="1:15" ht="30" x14ac:dyDescent="0.25">
      <c r="A20" s="2">
        <v>150</v>
      </c>
      <c r="B20" s="2">
        <v>130</v>
      </c>
      <c r="C20" s="3">
        <v>1.5</v>
      </c>
      <c r="D20" s="2" t="s">
        <v>117</v>
      </c>
      <c r="E20" s="2">
        <v>30</v>
      </c>
      <c r="F20" s="2">
        <v>29</v>
      </c>
      <c r="G20" s="3">
        <f t="shared" si="0"/>
        <v>96.666666666666671</v>
      </c>
      <c r="H20" s="3">
        <v>-65.599999999999994</v>
      </c>
      <c r="I20" s="3">
        <v>-72</v>
      </c>
      <c r="J20" s="3">
        <v>-62.5</v>
      </c>
      <c r="K20" s="2">
        <v>0</v>
      </c>
      <c r="L20" s="2" t="s">
        <v>49</v>
      </c>
      <c r="M20" s="2" t="s">
        <v>168</v>
      </c>
      <c r="N20" s="6">
        <v>1</v>
      </c>
      <c r="O20" s="7">
        <f t="shared" si="1"/>
        <v>3.3333333333333335</v>
      </c>
    </row>
    <row r="21" spans="1:15" ht="30" x14ac:dyDescent="0.25">
      <c r="A21" s="2">
        <v>150</v>
      </c>
      <c r="B21" s="2">
        <v>130</v>
      </c>
      <c r="C21" s="3">
        <v>2</v>
      </c>
      <c r="D21" s="2" t="s">
        <v>117</v>
      </c>
      <c r="E21" s="2">
        <v>30</v>
      </c>
      <c r="F21" s="2">
        <v>28</v>
      </c>
      <c r="G21" s="3">
        <f t="shared" si="0"/>
        <v>93.333333333333329</v>
      </c>
      <c r="H21" s="3">
        <v>-67.099999999999994</v>
      </c>
      <c r="I21" s="3">
        <v>-70</v>
      </c>
      <c r="J21" s="3">
        <v>-63</v>
      </c>
      <c r="K21" s="2">
        <v>0</v>
      </c>
      <c r="L21" s="2" t="s">
        <v>49</v>
      </c>
      <c r="M21" s="2" t="s">
        <v>168</v>
      </c>
      <c r="N21" s="6">
        <v>2</v>
      </c>
      <c r="O21" s="7">
        <f t="shared" si="1"/>
        <v>6.666666666666667</v>
      </c>
    </row>
    <row r="22" spans="1:15" ht="30" customHeight="1" x14ac:dyDescent="0.25">
      <c r="A22" s="2">
        <v>150</v>
      </c>
      <c r="B22" s="2">
        <v>130</v>
      </c>
      <c r="C22" s="3">
        <v>2.5</v>
      </c>
      <c r="D22" s="2" t="s">
        <v>117</v>
      </c>
      <c r="E22" s="2">
        <v>30</v>
      </c>
      <c r="F22" s="2">
        <v>27</v>
      </c>
      <c r="G22" s="3">
        <f t="shared" si="0"/>
        <v>90</v>
      </c>
      <c r="H22" s="3">
        <v>-70.7</v>
      </c>
      <c r="I22" s="3">
        <v>-75</v>
      </c>
      <c r="J22" s="3">
        <v>-68</v>
      </c>
      <c r="K22" s="2">
        <v>0</v>
      </c>
      <c r="L22" s="2" t="s">
        <v>49</v>
      </c>
      <c r="M22" s="2" t="s">
        <v>168</v>
      </c>
      <c r="N22" s="6">
        <v>3</v>
      </c>
      <c r="O22" s="7">
        <f t="shared" si="1"/>
        <v>10</v>
      </c>
    </row>
    <row r="23" spans="1:15" ht="30" customHeight="1" x14ac:dyDescent="0.25">
      <c r="A23" s="2">
        <v>150</v>
      </c>
      <c r="B23" s="2">
        <v>130</v>
      </c>
      <c r="C23" s="3">
        <v>3</v>
      </c>
      <c r="D23" s="2" t="s">
        <v>117</v>
      </c>
      <c r="E23" s="2">
        <v>30</v>
      </c>
      <c r="F23" s="2">
        <v>20</v>
      </c>
      <c r="G23" s="3">
        <f t="shared" si="0"/>
        <v>66.666666666666657</v>
      </c>
      <c r="H23" s="3">
        <v>-74.599999999999994</v>
      </c>
      <c r="I23" s="3">
        <v>-78.5</v>
      </c>
      <c r="J23" s="3">
        <v>-71</v>
      </c>
      <c r="K23" s="2">
        <v>0</v>
      </c>
      <c r="L23" s="2" t="s">
        <v>49</v>
      </c>
      <c r="M23" s="2" t="s">
        <v>170</v>
      </c>
      <c r="N23" s="6">
        <v>10</v>
      </c>
      <c r="O23" s="7">
        <f t="shared" si="1"/>
        <v>33.333333333333329</v>
      </c>
    </row>
    <row r="24" spans="1:15" ht="30" customHeight="1" x14ac:dyDescent="0.25">
      <c r="A24" s="2">
        <v>150</v>
      </c>
      <c r="B24" s="2">
        <v>130</v>
      </c>
      <c r="C24" s="3">
        <v>3.5</v>
      </c>
      <c r="D24" s="2" t="s">
        <v>117</v>
      </c>
      <c r="E24" s="2">
        <v>30</v>
      </c>
      <c r="F24" s="2">
        <v>8</v>
      </c>
      <c r="G24" s="3">
        <f t="shared" si="0"/>
        <v>26.666666666666668</v>
      </c>
      <c r="H24" s="3">
        <v>-75.599999999999994</v>
      </c>
      <c r="I24" s="3">
        <v>-77.5</v>
      </c>
      <c r="J24" s="3">
        <v>-74</v>
      </c>
      <c r="K24" s="2">
        <v>0</v>
      </c>
      <c r="L24" s="2" t="s">
        <v>49</v>
      </c>
      <c r="M24" s="2" t="s">
        <v>170</v>
      </c>
      <c r="N24" s="6">
        <v>22</v>
      </c>
      <c r="O24" s="7">
        <f t="shared" si="1"/>
        <v>73.333333333333329</v>
      </c>
    </row>
    <row r="25" spans="1:15" x14ac:dyDescent="0.25">
      <c r="A25" s="2">
        <v>150</v>
      </c>
      <c r="B25" s="2">
        <v>130</v>
      </c>
      <c r="C25" s="3">
        <v>4</v>
      </c>
      <c r="D25" s="2" t="s">
        <v>117</v>
      </c>
      <c r="E25" s="2">
        <v>30</v>
      </c>
      <c r="F25" s="2">
        <v>0</v>
      </c>
      <c r="G25" s="3">
        <f t="shared" si="0"/>
        <v>0</v>
      </c>
      <c r="H25" s="3"/>
      <c r="I25" s="3"/>
      <c r="J25" s="3"/>
      <c r="K25" s="2">
        <v>0</v>
      </c>
      <c r="L25" s="2" t="s">
        <v>49</v>
      </c>
      <c r="M25" s="2" t="s">
        <v>171</v>
      </c>
      <c r="N25" s="6">
        <v>30</v>
      </c>
      <c r="O25" s="7">
        <f t="shared" si="1"/>
        <v>100</v>
      </c>
    </row>
    <row r="26" spans="1:15" ht="30" x14ac:dyDescent="0.25">
      <c r="A26" s="2">
        <v>150</v>
      </c>
      <c r="B26" s="2">
        <v>140</v>
      </c>
      <c r="C26" s="3">
        <v>0.5</v>
      </c>
      <c r="D26" s="2" t="s">
        <v>119</v>
      </c>
      <c r="E26" s="2">
        <v>30</v>
      </c>
      <c r="F26" s="2">
        <v>26</v>
      </c>
      <c r="G26" s="3">
        <f t="shared" si="0"/>
        <v>86.666666666666671</v>
      </c>
      <c r="H26" s="3">
        <v>-39.700000000000003</v>
      </c>
      <c r="I26" s="3">
        <v>-46.5</v>
      </c>
      <c r="J26" s="3">
        <v>-38</v>
      </c>
      <c r="K26" s="2">
        <v>0</v>
      </c>
      <c r="L26" s="2" t="s">
        <v>49</v>
      </c>
      <c r="M26" s="2" t="s">
        <v>169</v>
      </c>
      <c r="N26" s="6">
        <v>4</v>
      </c>
      <c r="O26" s="7">
        <f t="shared" si="1"/>
        <v>13.333333333333334</v>
      </c>
    </row>
    <row r="27" spans="1:15" ht="30" x14ac:dyDescent="0.25">
      <c r="A27" s="2">
        <v>150</v>
      </c>
      <c r="B27" s="2">
        <v>140</v>
      </c>
      <c r="C27" s="3">
        <v>1</v>
      </c>
      <c r="D27" s="2" t="s">
        <v>119</v>
      </c>
      <c r="E27" s="2">
        <v>30</v>
      </c>
      <c r="F27" s="2">
        <v>27</v>
      </c>
      <c r="G27" s="3">
        <f t="shared" si="0"/>
        <v>90</v>
      </c>
      <c r="H27" s="3">
        <v>-55.5</v>
      </c>
      <c r="I27" s="3">
        <v>-62</v>
      </c>
      <c r="J27" s="3">
        <v>-52.5</v>
      </c>
      <c r="K27" s="2">
        <v>0</v>
      </c>
      <c r="L27" s="2" t="s">
        <v>49</v>
      </c>
      <c r="M27" s="2" t="s">
        <v>168</v>
      </c>
      <c r="N27" s="6">
        <v>3</v>
      </c>
      <c r="O27" s="7">
        <f t="shared" si="1"/>
        <v>10</v>
      </c>
    </row>
    <row r="28" spans="1:15" ht="30" x14ac:dyDescent="0.25">
      <c r="A28" s="2">
        <v>150</v>
      </c>
      <c r="B28" s="2">
        <v>140</v>
      </c>
      <c r="C28" s="3">
        <v>1.5</v>
      </c>
      <c r="D28" s="2" t="s">
        <v>119</v>
      </c>
      <c r="E28" s="2">
        <v>30</v>
      </c>
      <c r="F28" s="2">
        <v>30</v>
      </c>
      <c r="G28" s="3">
        <f t="shared" si="0"/>
        <v>100</v>
      </c>
      <c r="H28" s="3">
        <v>-65.400000000000006</v>
      </c>
      <c r="I28" s="3">
        <v>-67.5</v>
      </c>
      <c r="J28" s="3">
        <v>-63</v>
      </c>
      <c r="K28" s="2">
        <v>0</v>
      </c>
      <c r="L28" s="2" t="s">
        <v>49</v>
      </c>
      <c r="M28" s="2" t="s">
        <v>168</v>
      </c>
      <c r="N28" s="6">
        <v>0</v>
      </c>
      <c r="O28" s="7">
        <f t="shared" si="1"/>
        <v>0</v>
      </c>
    </row>
    <row r="29" spans="1:15" ht="30" x14ac:dyDescent="0.25">
      <c r="A29" s="2">
        <v>150</v>
      </c>
      <c r="B29" s="2">
        <v>140</v>
      </c>
      <c r="C29" s="3">
        <v>2</v>
      </c>
      <c r="D29" s="2" t="s">
        <v>119</v>
      </c>
      <c r="E29" s="2">
        <v>30</v>
      </c>
      <c r="F29" s="2">
        <v>30</v>
      </c>
      <c r="G29" s="3">
        <f t="shared" si="0"/>
        <v>100</v>
      </c>
      <c r="H29" s="3">
        <v>-67.5</v>
      </c>
      <c r="I29" s="3">
        <v>-71</v>
      </c>
      <c r="J29" s="3">
        <v>-64.5</v>
      </c>
      <c r="K29" s="2">
        <v>0</v>
      </c>
      <c r="L29" s="2" t="s">
        <v>49</v>
      </c>
      <c r="M29" s="2" t="s">
        <v>168</v>
      </c>
      <c r="N29" s="6">
        <v>0</v>
      </c>
      <c r="O29" s="7">
        <f t="shared" si="1"/>
        <v>0</v>
      </c>
    </row>
    <row r="30" spans="1:15" ht="30" customHeight="1" x14ac:dyDescent="0.25">
      <c r="A30" s="2">
        <v>150</v>
      </c>
      <c r="B30" s="2">
        <v>140</v>
      </c>
      <c r="C30" s="3">
        <v>2.5</v>
      </c>
      <c r="D30" s="2" t="s">
        <v>119</v>
      </c>
      <c r="E30" s="2">
        <v>30</v>
      </c>
      <c r="F30" s="2">
        <v>28</v>
      </c>
      <c r="G30" s="3">
        <f t="shared" si="0"/>
        <v>93.333333333333329</v>
      </c>
      <c r="H30" s="3">
        <v>-70.599999999999994</v>
      </c>
      <c r="I30" s="3">
        <v>-72.5</v>
      </c>
      <c r="J30" s="3">
        <v>-68.5</v>
      </c>
      <c r="K30" s="2">
        <v>0</v>
      </c>
      <c r="L30" s="2" t="s">
        <v>49</v>
      </c>
      <c r="M30" s="2" t="s">
        <v>168</v>
      </c>
      <c r="N30" s="6">
        <v>2</v>
      </c>
      <c r="O30" s="7">
        <f t="shared" si="1"/>
        <v>6.666666666666667</v>
      </c>
    </row>
    <row r="31" spans="1:15" ht="30" customHeight="1" x14ac:dyDescent="0.25">
      <c r="A31" s="2">
        <v>150</v>
      </c>
      <c r="B31" s="2">
        <v>140</v>
      </c>
      <c r="C31" s="3">
        <v>3</v>
      </c>
      <c r="D31" s="2" t="s">
        <v>119</v>
      </c>
      <c r="E31" s="2">
        <v>30</v>
      </c>
      <c r="F31" s="2">
        <v>12</v>
      </c>
      <c r="G31" s="3">
        <f t="shared" si="0"/>
        <v>40</v>
      </c>
      <c r="H31" s="3">
        <v>-76</v>
      </c>
      <c r="I31" s="3">
        <v>-78.5</v>
      </c>
      <c r="J31" s="3">
        <v>-74</v>
      </c>
      <c r="K31" s="2">
        <v>0</v>
      </c>
      <c r="L31" s="2" t="s">
        <v>49</v>
      </c>
      <c r="M31" s="2" t="s">
        <v>170</v>
      </c>
      <c r="N31" s="6">
        <v>18</v>
      </c>
      <c r="O31" s="7">
        <f t="shared" si="1"/>
        <v>60</v>
      </c>
    </row>
    <row r="32" spans="1:15" ht="30" customHeight="1" x14ac:dyDescent="0.25">
      <c r="A32" s="2">
        <v>150</v>
      </c>
      <c r="B32" s="2">
        <v>140</v>
      </c>
      <c r="C32" s="3">
        <v>3.5</v>
      </c>
      <c r="D32" s="2" t="s">
        <v>119</v>
      </c>
      <c r="E32" s="2">
        <v>30</v>
      </c>
      <c r="F32" s="2">
        <v>16</v>
      </c>
      <c r="G32" s="3">
        <f t="shared" si="0"/>
        <v>53.333333333333336</v>
      </c>
      <c r="H32" s="3">
        <v>-75.7</v>
      </c>
      <c r="I32" s="3">
        <v>-79</v>
      </c>
      <c r="J32" s="3">
        <v>-73.5</v>
      </c>
      <c r="K32" s="2">
        <v>0</v>
      </c>
      <c r="L32" s="2" t="s">
        <v>49</v>
      </c>
      <c r="M32" s="2" t="s">
        <v>170</v>
      </c>
      <c r="N32" s="6">
        <v>14</v>
      </c>
      <c r="O32" s="7">
        <f t="shared" si="1"/>
        <v>46.666666666666664</v>
      </c>
    </row>
    <row r="33" spans="1:15" ht="30" customHeight="1" x14ac:dyDescent="0.25">
      <c r="A33" s="2">
        <v>150</v>
      </c>
      <c r="B33" s="2">
        <v>140</v>
      </c>
      <c r="C33" s="3">
        <v>4</v>
      </c>
      <c r="D33" s="2" t="s">
        <v>119</v>
      </c>
      <c r="E33" s="2">
        <v>30</v>
      </c>
      <c r="F33" s="2">
        <v>1</v>
      </c>
      <c r="G33" s="3">
        <f t="shared" si="0"/>
        <v>3.3333333333333335</v>
      </c>
      <c r="H33" s="3">
        <v>-78</v>
      </c>
      <c r="I33" s="3">
        <v>-78</v>
      </c>
      <c r="J33" s="3">
        <v>-78</v>
      </c>
      <c r="K33" s="2">
        <v>0</v>
      </c>
      <c r="L33" s="2" t="s">
        <v>49</v>
      </c>
      <c r="M33" s="2" t="s">
        <v>170</v>
      </c>
      <c r="N33" s="6">
        <v>29</v>
      </c>
      <c r="O33" s="7">
        <f t="shared" si="1"/>
        <v>96.666666666666671</v>
      </c>
    </row>
    <row r="34" spans="1:15" ht="30" x14ac:dyDescent="0.25">
      <c r="A34" s="2">
        <v>150</v>
      </c>
      <c r="B34" s="2">
        <v>150</v>
      </c>
      <c r="C34" s="3">
        <v>0.5</v>
      </c>
      <c r="D34" s="2" t="s">
        <v>122</v>
      </c>
      <c r="E34" s="2">
        <v>30</v>
      </c>
      <c r="F34" s="2">
        <v>29</v>
      </c>
      <c r="G34" s="3">
        <f t="shared" ref="G34:G65" si="2">IF(E34&gt;0,F34/E34*100,"")</f>
        <v>96.666666666666671</v>
      </c>
      <c r="H34" s="3">
        <v>-42</v>
      </c>
      <c r="I34" s="3">
        <v>-45</v>
      </c>
      <c r="J34" s="3">
        <v>-38.5</v>
      </c>
      <c r="K34" s="2">
        <v>0</v>
      </c>
      <c r="L34" s="2" t="s">
        <v>48</v>
      </c>
      <c r="M34" s="2" t="s">
        <v>168</v>
      </c>
      <c r="N34" s="6">
        <v>1</v>
      </c>
      <c r="O34" s="7">
        <f t="shared" ref="O34:O65" si="3">IF(E34&gt;0,N34/E34*100,"")</f>
        <v>3.3333333333333335</v>
      </c>
    </row>
    <row r="35" spans="1:15" ht="30" x14ac:dyDescent="0.25">
      <c r="A35" s="2">
        <v>150</v>
      </c>
      <c r="B35" s="2">
        <v>150</v>
      </c>
      <c r="C35" s="3">
        <v>1</v>
      </c>
      <c r="D35" s="2" t="s">
        <v>122</v>
      </c>
      <c r="E35" s="2">
        <v>30</v>
      </c>
      <c r="F35" s="2">
        <v>30</v>
      </c>
      <c r="G35" s="3">
        <f t="shared" si="2"/>
        <v>100</v>
      </c>
      <c r="H35" s="3">
        <v>-53.6</v>
      </c>
      <c r="I35" s="3">
        <v>-58.5</v>
      </c>
      <c r="J35" s="3">
        <v>-51</v>
      </c>
      <c r="K35" s="2">
        <v>0</v>
      </c>
      <c r="L35" s="2" t="s">
        <v>48</v>
      </c>
      <c r="M35" s="2" t="s">
        <v>168</v>
      </c>
      <c r="N35" s="6">
        <v>0</v>
      </c>
      <c r="O35" s="7">
        <f t="shared" si="3"/>
        <v>0</v>
      </c>
    </row>
    <row r="36" spans="1:15" ht="30" x14ac:dyDescent="0.25">
      <c r="A36" s="2">
        <v>150</v>
      </c>
      <c r="B36" s="2">
        <v>150</v>
      </c>
      <c r="C36" s="3">
        <v>1.5</v>
      </c>
      <c r="D36" s="2" t="s">
        <v>122</v>
      </c>
      <c r="E36" s="2">
        <v>30</v>
      </c>
      <c r="F36" s="2">
        <v>26</v>
      </c>
      <c r="G36" s="3">
        <f t="shared" si="2"/>
        <v>86.666666666666671</v>
      </c>
      <c r="H36" s="3">
        <v>-67.3</v>
      </c>
      <c r="I36" s="3">
        <v>-70.5</v>
      </c>
      <c r="J36" s="3">
        <v>-64</v>
      </c>
      <c r="K36" s="2">
        <v>0</v>
      </c>
      <c r="L36" s="2" t="s">
        <v>48</v>
      </c>
      <c r="M36" s="2" t="s">
        <v>169</v>
      </c>
      <c r="N36" s="6">
        <v>4</v>
      </c>
      <c r="O36" s="7">
        <f t="shared" si="3"/>
        <v>13.333333333333334</v>
      </c>
    </row>
    <row r="37" spans="1:15" ht="30" customHeight="1" x14ac:dyDescent="0.25">
      <c r="A37" s="2">
        <v>150</v>
      </c>
      <c r="B37" s="2">
        <v>150</v>
      </c>
      <c r="C37" s="3">
        <v>2</v>
      </c>
      <c r="D37" s="2" t="s">
        <v>122</v>
      </c>
      <c r="E37" s="2">
        <v>30</v>
      </c>
      <c r="F37" s="2">
        <v>29</v>
      </c>
      <c r="G37" s="3">
        <f t="shared" si="2"/>
        <v>96.666666666666671</v>
      </c>
      <c r="H37" s="3">
        <v>-65.900000000000006</v>
      </c>
      <c r="I37" s="3">
        <v>-68</v>
      </c>
      <c r="J37" s="3">
        <v>-63</v>
      </c>
      <c r="K37" s="2">
        <v>0</v>
      </c>
      <c r="L37" s="2" t="s">
        <v>48</v>
      </c>
      <c r="M37" s="2" t="s">
        <v>168</v>
      </c>
      <c r="N37" s="6">
        <v>1</v>
      </c>
      <c r="O37" s="7">
        <f t="shared" si="3"/>
        <v>3.3333333333333335</v>
      </c>
    </row>
    <row r="38" spans="1:15" ht="30" customHeight="1" x14ac:dyDescent="0.25">
      <c r="A38" s="2">
        <v>150</v>
      </c>
      <c r="B38" s="2">
        <v>150</v>
      </c>
      <c r="C38" s="3">
        <v>2.5</v>
      </c>
      <c r="D38" s="2" t="s">
        <v>122</v>
      </c>
      <c r="E38" s="2">
        <v>30</v>
      </c>
      <c r="F38" s="2">
        <v>30</v>
      </c>
      <c r="G38" s="3">
        <f t="shared" si="2"/>
        <v>100</v>
      </c>
      <c r="H38" s="3">
        <v>-71.2</v>
      </c>
      <c r="I38" s="3">
        <v>-74</v>
      </c>
      <c r="J38" s="3">
        <v>-67.5</v>
      </c>
      <c r="K38" s="2">
        <v>0</v>
      </c>
      <c r="L38" s="2" t="s">
        <v>48</v>
      </c>
      <c r="M38" s="2" t="s">
        <v>168</v>
      </c>
      <c r="N38" s="6">
        <v>0</v>
      </c>
      <c r="O38" s="7">
        <f t="shared" si="3"/>
        <v>0</v>
      </c>
    </row>
    <row r="39" spans="1:15" ht="30" customHeight="1" x14ac:dyDescent="0.25">
      <c r="A39" s="2">
        <v>150</v>
      </c>
      <c r="B39" s="2">
        <v>150</v>
      </c>
      <c r="C39" s="3">
        <v>3</v>
      </c>
      <c r="D39" s="2" t="s">
        <v>122</v>
      </c>
      <c r="E39" s="2">
        <v>30</v>
      </c>
      <c r="F39" s="2">
        <v>23</v>
      </c>
      <c r="G39" s="3">
        <f t="shared" si="2"/>
        <v>76.666666666666671</v>
      </c>
      <c r="H39" s="3">
        <v>-73.3</v>
      </c>
      <c r="I39" s="3">
        <v>-76</v>
      </c>
      <c r="J39" s="3">
        <v>-71.5</v>
      </c>
      <c r="K39" s="2">
        <v>0</v>
      </c>
      <c r="L39" s="2" t="s">
        <v>48</v>
      </c>
      <c r="M39" s="2" t="s">
        <v>169</v>
      </c>
      <c r="N39" s="6">
        <v>7</v>
      </c>
      <c r="O39" s="7">
        <f t="shared" si="3"/>
        <v>23.333333333333332</v>
      </c>
    </row>
    <row r="40" spans="1:15" ht="30" customHeight="1" x14ac:dyDescent="0.25">
      <c r="A40" s="2">
        <v>150</v>
      </c>
      <c r="B40" s="2">
        <v>150</v>
      </c>
      <c r="C40" s="3">
        <v>3.5</v>
      </c>
      <c r="D40" s="2" t="s">
        <v>122</v>
      </c>
      <c r="E40" s="2">
        <v>30</v>
      </c>
      <c r="F40" s="2">
        <v>8</v>
      </c>
      <c r="G40" s="3">
        <f t="shared" si="2"/>
        <v>26.666666666666668</v>
      </c>
      <c r="H40" s="3">
        <v>-78.900000000000006</v>
      </c>
      <c r="I40" s="3">
        <v>-83.5</v>
      </c>
      <c r="J40" s="3">
        <v>-76</v>
      </c>
      <c r="K40" s="2">
        <v>0</v>
      </c>
      <c r="L40" s="2" t="s">
        <v>48</v>
      </c>
      <c r="M40" s="2" t="s">
        <v>170</v>
      </c>
      <c r="N40" s="6">
        <v>22</v>
      </c>
      <c r="O40" s="7">
        <f t="shared" si="3"/>
        <v>73.333333333333329</v>
      </c>
    </row>
    <row r="41" spans="1:15" ht="30" customHeight="1" x14ac:dyDescent="0.25">
      <c r="A41" s="2">
        <v>150</v>
      </c>
      <c r="B41" s="2">
        <v>150</v>
      </c>
      <c r="C41" s="3">
        <v>4</v>
      </c>
      <c r="D41" s="2" t="s">
        <v>122</v>
      </c>
      <c r="E41" s="2">
        <v>30</v>
      </c>
      <c r="F41" s="2">
        <v>5</v>
      </c>
      <c r="G41" s="3">
        <f t="shared" si="2"/>
        <v>16.666666666666664</v>
      </c>
      <c r="H41" s="3">
        <v>-78.900000000000006</v>
      </c>
      <c r="I41" s="3">
        <v>-80</v>
      </c>
      <c r="J41" s="3">
        <v>-78</v>
      </c>
      <c r="K41" s="2">
        <v>0</v>
      </c>
      <c r="L41" s="2" t="s">
        <v>48</v>
      </c>
      <c r="M41" s="2" t="s">
        <v>170</v>
      </c>
      <c r="N41" s="6">
        <v>25</v>
      </c>
      <c r="O41" s="7">
        <f t="shared" si="3"/>
        <v>83.333333333333343</v>
      </c>
    </row>
    <row r="42" spans="1:15" ht="30" x14ac:dyDescent="0.25">
      <c r="A42" s="2">
        <v>150</v>
      </c>
      <c r="B42" s="2">
        <v>160</v>
      </c>
      <c r="C42" s="3">
        <v>0.5</v>
      </c>
      <c r="D42" s="2" t="s">
        <v>125</v>
      </c>
      <c r="E42" s="2">
        <v>30</v>
      </c>
      <c r="F42" s="2">
        <v>30</v>
      </c>
      <c r="G42" s="3">
        <f t="shared" si="2"/>
        <v>100</v>
      </c>
      <c r="H42" s="3">
        <v>-42.4</v>
      </c>
      <c r="I42" s="3">
        <v>-48</v>
      </c>
      <c r="J42" s="3">
        <v>-39.5</v>
      </c>
      <c r="K42" s="2">
        <v>0</v>
      </c>
      <c r="L42" s="2" t="s">
        <v>48</v>
      </c>
      <c r="M42" s="2" t="s">
        <v>168</v>
      </c>
      <c r="N42" s="6">
        <v>0</v>
      </c>
      <c r="O42" s="7">
        <f t="shared" si="3"/>
        <v>0</v>
      </c>
    </row>
    <row r="43" spans="1:15" ht="30" x14ac:dyDescent="0.25">
      <c r="A43" s="2">
        <v>150</v>
      </c>
      <c r="B43" s="2">
        <v>160</v>
      </c>
      <c r="C43" s="3">
        <v>1</v>
      </c>
      <c r="D43" s="2" t="s">
        <v>125</v>
      </c>
      <c r="E43" s="2">
        <v>30</v>
      </c>
      <c r="F43" s="2">
        <v>27</v>
      </c>
      <c r="G43" s="3">
        <f t="shared" si="2"/>
        <v>90</v>
      </c>
      <c r="H43" s="3">
        <v>-54.5</v>
      </c>
      <c r="I43" s="3">
        <v>-57.5</v>
      </c>
      <c r="J43" s="3">
        <v>-52</v>
      </c>
      <c r="K43" s="2">
        <v>0</v>
      </c>
      <c r="L43" s="2" t="s">
        <v>48</v>
      </c>
      <c r="M43" s="2" t="s">
        <v>168</v>
      </c>
      <c r="N43" s="6">
        <v>3</v>
      </c>
      <c r="O43" s="7">
        <f t="shared" si="3"/>
        <v>10</v>
      </c>
    </row>
    <row r="44" spans="1:15" ht="30" x14ac:dyDescent="0.25">
      <c r="A44" s="2">
        <v>150</v>
      </c>
      <c r="B44" s="2">
        <v>160</v>
      </c>
      <c r="C44" s="3">
        <v>1.5</v>
      </c>
      <c r="D44" s="2" t="s">
        <v>125</v>
      </c>
      <c r="E44" s="2">
        <v>30</v>
      </c>
      <c r="F44" s="2">
        <v>29</v>
      </c>
      <c r="G44" s="3">
        <f t="shared" si="2"/>
        <v>96.666666666666671</v>
      </c>
      <c r="H44" s="3">
        <v>-64.5</v>
      </c>
      <c r="I44" s="3">
        <v>-67</v>
      </c>
      <c r="J44" s="3">
        <v>-62.5</v>
      </c>
      <c r="K44" s="2">
        <v>0</v>
      </c>
      <c r="L44" s="2" t="s">
        <v>48</v>
      </c>
      <c r="M44" s="2" t="s">
        <v>168</v>
      </c>
      <c r="N44" s="6">
        <v>1</v>
      </c>
      <c r="O44" s="7">
        <f t="shared" si="3"/>
        <v>3.3333333333333335</v>
      </c>
    </row>
    <row r="45" spans="1:15" ht="30" x14ac:dyDescent="0.25">
      <c r="A45" s="2">
        <v>150</v>
      </c>
      <c r="B45" s="2">
        <v>160</v>
      </c>
      <c r="C45" s="3">
        <v>2</v>
      </c>
      <c r="D45" s="2" t="s">
        <v>125</v>
      </c>
      <c r="E45" s="2">
        <v>30</v>
      </c>
      <c r="F45" s="2">
        <v>30</v>
      </c>
      <c r="G45" s="3">
        <f t="shared" si="2"/>
        <v>100</v>
      </c>
      <c r="H45" s="3">
        <v>-67.099999999999994</v>
      </c>
      <c r="I45" s="3">
        <v>-70</v>
      </c>
      <c r="J45" s="3">
        <v>-64</v>
      </c>
      <c r="K45" s="2">
        <v>0</v>
      </c>
      <c r="L45" s="2" t="s">
        <v>48</v>
      </c>
      <c r="M45" s="2" t="s">
        <v>168</v>
      </c>
      <c r="N45" s="6">
        <v>0</v>
      </c>
      <c r="O45" s="7">
        <f t="shared" si="3"/>
        <v>0</v>
      </c>
    </row>
    <row r="46" spans="1:15" ht="30" customHeight="1" x14ac:dyDescent="0.25">
      <c r="A46" s="2">
        <v>150</v>
      </c>
      <c r="B46" s="2">
        <v>160</v>
      </c>
      <c r="C46" s="3">
        <v>2.5</v>
      </c>
      <c r="D46" s="2" t="s">
        <v>125</v>
      </c>
      <c r="E46" s="2">
        <v>30</v>
      </c>
      <c r="F46" s="2">
        <v>25</v>
      </c>
      <c r="G46" s="3">
        <f t="shared" si="2"/>
        <v>83.333333333333343</v>
      </c>
      <c r="H46" s="3">
        <v>-69.7</v>
      </c>
      <c r="I46" s="3">
        <v>-76.5</v>
      </c>
      <c r="J46" s="3">
        <v>-66.5</v>
      </c>
      <c r="K46" s="2">
        <v>0</v>
      </c>
      <c r="L46" s="2" t="s">
        <v>48</v>
      </c>
      <c r="M46" s="2" t="s">
        <v>169</v>
      </c>
      <c r="N46" s="6">
        <v>5</v>
      </c>
      <c r="O46" s="7">
        <f t="shared" si="3"/>
        <v>16.666666666666664</v>
      </c>
    </row>
    <row r="47" spans="1:15" ht="30" customHeight="1" x14ac:dyDescent="0.25">
      <c r="A47" s="2">
        <v>150</v>
      </c>
      <c r="B47" s="2">
        <v>160</v>
      </c>
      <c r="C47" s="3">
        <v>3</v>
      </c>
      <c r="D47" s="2" t="s">
        <v>125</v>
      </c>
      <c r="E47" s="2">
        <v>30</v>
      </c>
      <c r="F47" s="2">
        <v>19</v>
      </c>
      <c r="G47" s="3">
        <f t="shared" si="2"/>
        <v>63.333333333333329</v>
      </c>
      <c r="H47" s="3">
        <v>-74.400000000000006</v>
      </c>
      <c r="I47" s="3">
        <v>-76</v>
      </c>
      <c r="J47" s="3">
        <v>-72.5</v>
      </c>
      <c r="K47" s="2">
        <v>0</v>
      </c>
      <c r="L47" s="2" t="s">
        <v>48</v>
      </c>
      <c r="M47" s="2" t="s">
        <v>170</v>
      </c>
      <c r="N47" s="6">
        <v>11</v>
      </c>
      <c r="O47" s="7">
        <f t="shared" si="3"/>
        <v>36.666666666666664</v>
      </c>
    </row>
    <row r="48" spans="1:15" ht="30" customHeight="1" x14ac:dyDescent="0.25">
      <c r="A48" s="2">
        <v>150</v>
      </c>
      <c r="B48" s="2">
        <v>160</v>
      </c>
      <c r="C48" s="3">
        <v>3.5</v>
      </c>
      <c r="D48" s="2" t="s">
        <v>125</v>
      </c>
      <c r="E48" s="2">
        <v>30</v>
      </c>
      <c r="F48" s="2">
        <v>11</v>
      </c>
      <c r="G48" s="3">
        <f t="shared" si="2"/>
        <v>36.666666666666664</v>
      </c>
      <c r="H48" s="3">
        <v>-76.5</v>
      </c>
      <c r="I48" s="3">
        <v>-78</v>
      </c>
      <c r="J48" s="3">
        <v>-74</v>
      </c>
      <c r="K48" s="2">
        <v>0</v>
      </c>
      <c r="L48" s="2" t="s">
        <v>48</v>
      </c>
      <c r="M48" s="2" t="s">
        <v>170</v>
      </c>
      <c r="N48" s="6">
        <v>19</v>
      </c>
      <c r="O48" s="7">
        <f t="shared" si="3"/>
        <v>63.333333333333329</v>
      </c>
    </row>
    <row r="49" spans="1:15" ht="30" customHeight="1" x14ac:dyDescent="0.25">
      <c r="A49" s="2">
        <v>150</v>
      </c>
      <c r="B49" s="2">
        <v>160</v>
      </c>
      <c r="C49" s="3">
        <v>4</v>
      </c>
      <c r="D49" s="2" t="s">
        <v>125</v>
      </c>
      <c r="E49" s="2">
        <v>30</v>
      </c>
      <c r="F49" s="2">
        <v>0</v>
      </c>
      <c r="G49" s="3">
        <f t="shared" si="2"/>
        <v>0</v>
      </c>
      <c r="H49" s="3"/>
      <c r="I49" s="3"/>
      <c r="J49" s="3"/>
      <c r="K49" s="2">
        <v>0</v>
      </c>
      <c r="L49" s="2" t="s">
        <v>48</v>
      </c>
      <c r="M49" s="2" t="s">
        <v>171</v>
      </c>
      <c r="N49" s="6">
        <v>30</v>
      </c>
      <c r="O49" s="7">
        <f t="shared" si="3"/>
        <v>100</v>
      </c>
    </row>
    <row r="50" spans="1:15" ht="30" x14ac:dyDescent="0.25">
      <c r="A50" s="2">
        <v>150</v>
      </c>
      <c r="B50" s="2">
        <v>170</v>
      </c>
      <c r="C50" s="3">
        <v>0.5</v>
      </c>
      <c r="D50" s="2" t="s">
        <v>127</v>
      </c>
      <c r="E50" s="2">
        <v>30</v>
      </c>
      <c r="F50" s="2">
        <v>30</v>
      </c>
      <c r="G50" s="3">
        <f t="shared" si="2"/>
        <v>100</v>
      </c>
      <c r="H50" s="3">
        <v>-48.7</v>
      </c>
      <c r="I50" s="3">
        <v>-55</v>
      </c>
      <c r="J50" s="3">
        <v>-46</v>
      </c>
      <c r="K50" s="2">
        <v>0</v>
      </c>
      <c r="L50" s="2" t="s">
        <v>52</v>
      </c>
      <c r="M50" s="2" t="s">
        <v>168</v>
      </c>
      <c r="N50" s="6">
        <v>0</v>
      </c>
      <c r="O50" s="7">
        <f t="shared" si="3"/>
        <v>0</v>
      </c>
    </row>
    <row r="51" spans="1:15" ht="30" x14ac:dyDescent="0.25">
      <c r="A51" s="2">
        <v>150</v>
      </c>
      <c r="B51" s="2">
        <v>170</v>
      </c>
      <c r="C51" s="3">
        <v>1</v>
      </c>
      <c r="D51" s="2" t="s">
        <v>127</v>
      </c>
      <c r="E51" s="2">
        <v>30</v>
      </c>
      <c r="F51" s="2">
        <v>28</v>
      </c>
      <c r="G51" s="3">
        <f t="shared" si="2"/>
        <v>93.333333333333329</v>
      </c>
      <c r="H51" s="3">
        <v>-62.6</v>
      </c>
      <c r="I51" s="3">
        <v>-67</v>
      </c>
      <c r="J51" s="3">
        <v>-60</v>
      </c>
      <c r="K51" s="2">
        <v>0</v>
      </c>
      <c r="L51" s="2" t="s">
        <v>52</v>
      </c>
      <c r="M51" s="2" t="s">
        <v>168</v>
      </c>
      <c r="N51" s="6">
        <v>2</v>
      </c>
      <c r="O51" s="7">
        <f t="shared" si="3"/>
        <v>6.666666666666667</v>
      </c>
    </row>
    <row r="52" spans="1:15" ht="30" customHeight="1" x14ac:dyDescent="0.25">
      <c r="A52" s="2">
        <v>150</v>
      </c>
      <c r="B52" s="2">
        <v>170</v>
      </c>
      <c r="C52" s="3">
        <v>1.5</v>
      </c>
      <c r="D52" s="2" t="s">
        <v>127</v>
      </c>
      <c r="E52" s="2">
        <v>30</v>
      </c>
      <c r="F52" s="2">
        <v>29</v>
      </c>
      <c r="G52" s="3">
        <f t="shared" si="2"/>
        <v>96.666666666666671</v>
      </c>
      <c r="H52" s="3">
        <v>-71.400000000000006</v>
      </c>
      <c r="I52" s="3">
        <v>-78</v>
      </c>
      <c r="J52" s="3">
        <v>-69</v>
      </c>
      <c r="K52" s="2">
        <v>0</v>
      </c>
      <c r="L52" s="2" t="s">
        <v>52</v>
      </c>
      <c r="M52" s="2" t="s">
        <v>168</v>
      </c>
      <c r="N52" s="6">
        <v>1</v>
      </c>
      <c r="O52" s="7">
        <f t="shared" si="3"/>
        <v>3.3333333333333335</v>
      </c>
    </row>
    <row r="53" spans="1:15" ht="30" customHeight="1" x14ac:dyDescent="0.25">
      <c r="A53" s="2">
        <v>150</v>
      </c>
      <c r="B53" s="2">
        <v>170</v>
      </c>
      <c r="C53" s="3">
        <v>2</v>
      </c>
      <c r="D53" s="2" t="s">
        <v>127</v>
      </c>
      <c r="E53" s="2">
        <v>30</v>
      </c>
      <c r="F53" s="2">
        <v>24</v>
      </c>
      <c r="G53" s="3">
        <f t="shared" si="2"/>
        <v>80</v>
      </c>
      <c r="H53" s="3">
        <v>-72.400000000000006</v>
      </c>
      <c r="I53" s="3">
        <v>-75</v>
      </c>
      <c r="J53" s="3">
        <v>-70.5</v>
      </c>
      <c r="K53" s="2">
        <v>0</v>
      </c>
      <c r="L53" s="2" t="s">
        <v>52</v>
      </c>
      <c r="M53" s="2" t="s">
        <v>169</v>
      </c>
      <c r="N53" s="6">
        <v>6</v>
      </c>
      <c r="O53" s="7">
        <f t="shared" si="3"/>
        <v>20</v>
      </c>
    </row>
    <row r="54" spans="1:15" ht="30" customHeight="1" x14ac:dyDescent="0.25">
      <c r="A54" s="2">
        <v>150</v>
      </c>
      <c r="B54" s="2">
        <v>170</v>
      </c>
      <c r="C54" s="3">
        <v>2.5</v>
      </c>
      <c r="D54" s="2" t="s">
        <v>127</v>
      </c>
      <c r="E54" s="2">
        <v>30</v>
      </c>
      <c r="F54" s="2">
        <v>16</v>
      </c>
      <c r="G54" s="3">
        <f t="shared" si="2"/>
        <v>53.333333333333336</v>
      </c>
      <c r="H54" s="3">
        <v>-75.599999999999994</v>
      </c>
      <c r="I54" s="3">
        <v>-79</v>
      </c>
      <c r="J54" s="3">
        <v>-72.5</v>
      </c>
      <c r="K54" s="2">
        <v>0</v>
      </c>
      <c r="L54" s="2" t="s">
        <v>52</v>
      </c>
      <c r="M54" s="2" t="s">
        <v>170</v>
      </c>
      <c r="N54" s="6">
        <v>14</v>
      </c>
      <c r="O54" s="7">
        <f t="shared" si="3"/>
        <v>46.666666666666664</v>
      </c>
    </row>
    <row r="55" spans="1:15" ht="30" customHeight="1" x14ac:dyDescent="0.25">
      <c r="A55" s="2">
        <v>150</v>
      </c>
      <c r="B55" s="2">
        <v>170</v>
      </c>
      <c r="C55" s="3">
        <v>3</v>
      </c>
      <c r="D55" s="2" t="s">
        <v>127</v>
      </c>
      <c r="E55" s="2">
        <v>30</v>
      </c>
      <c r="F55" s="2">
        <v>1</v>
      </c>
      <c r="G55" s="3">
        <f t="shared" si="2"/>
        <v>3.3333333333333335</v>
      </c>
      <c r="H55" s="3">
        <v>-81.5</v>
      </c>
      <c r="I55" s="3">
        <v>-81.5</v>
      </c>
      <c r="J55" s="3">
        <v>-81.5</v>
      </c>
      <c r="K55" s="2">
        <v>0</v>
      </c>
      <c r="L55" s="2" t="s">
        <v>52</v>
      </c>
      <c r="M55" s="2" t="s">
        <v>170</v>
      </c>
      <c r="N55" s="6">
        <v>29</v>
      </c>
      <c r="O55" s="7">
        <f t="shared" si="3"/>
        <v>96.666666666666671</v>
      </c>
    </row>
    <row r="56" spans="1:15" ht="30" customHeight="1" x14ac:dyDescent="0.25">
      <c r="A56" s="2">
        <v>150</v>
      </c>
      <c r="B56" s="2">
        <v>170</v>
      </c>
      <c r="C56" s="3">
        <v>3.5</v>
      </c>
      <c r="D56" s="2" t="s">
        <v>127</v>
      </c>
      <c r="E56" s="2">
        <v>30</v>
      </c>
      <c r="F56" s="2">
        <v>1</v>
      </c>
      <c r="G56" s="3">
        <f t="shared" si="2"/>
        <v>3.3333333333333335</v>
      </c>
      <c r="H56" s="3">
        <v>-81</v>
      </c>
      <c r="I56" s="3">
        <v>-81</v>
      </c>
      <c r="J56" s="3">
        <v>-81</v>
      </c>
      <c r="K56" s="2">
        <v>0</v>
      </c>
      <c r="L56" s="2" t="s">
        <v>52</v>
      </c>
      <c r="M56" s="2" t="s">
        <v>170</v>
      </c>
      <c r="N56" s="6">
        <v>29</v>
      </c>
      <c r="O56" s="7">
        <f t="shared" si="3"/>
        <v>96.666666666666671</v>
      </c>
    </row>
    <row r="57" spans="1:15" ht="30" customHeight="1" x14ac:dyDescent="0.25">
      <c r="A57" s="2">
        <v>150</v>
      </c>
      <c r="B57" s="2">
        <v>170</v>
      </c>
      <c r="C57" s="3">
        <v>4</v>
      </c>
      <c r="D57" s="2" t="s">
        <v>127</v>
      </c>
      <c r="E57" s="2">
        <v>30</v>
      </c>
      <c r="F57" s="2">
        <v>0</v>
      </c>
      <c r="G57" s="3">
        <f t="shared" si="2"/>
        <v>0</v>
      </c>
      <c r="H57" s="3"/>
      <c r="I57" s="3"/>
      <c r="J57" s="3"/>
      <c r="K57" s="2">
        <v>0</v>
      </c>
      <c r="L57" s="2" t="s">
        <v>52</v>
      </c>
      <c r="M57" s="2" t="s">
        <v>171</v>
      </c>
      <c r="N57" s="6">
        <v>30</v>
      </c>
      <c r="O57" s="7">
        <f t="shared" si="3"/>
        <v>100</v>
      </c>
    </row>
    <row r="58" spans="1:15" ht="30" x14ac:dyDescent="0.25">
      <c r="A58" s="2">
        <v>150</v>
      </c>
      <c r="B58" s="2">
        <v>180</v>
      </c>
      <c r="C58" s="3">
        <v>0.5</v>
      </c>
      <c r="D58" s="2" t="s">
        <v>131</v>
      </c>
      <c r="E58" s="2">
        <v>30</v>
      </c>
      <c r="F58" s="2">
        <v>29</v>
      </c>
      <c r="G58" s="3">
        <f t="shared" si="2"/>
        <v>96.666666666666671</v>
      </c>
      <c r="H58" s="3">
        <v>-46.3</v>
      </c>
      <c r="I58" s="3">
        <v>-52.5</v>
      </c>
      <c r="J58" s="3">
        <v>-42.5</v>
      </c>
      <c r="K58" s="2">
        <v>0</v>
      </c>
      <c r="L58" s="2" t="s">
        <v>48</v>
      </c>
      <c r="M58" s="2" t="s">
        <v>168</v>
      </c>
      <c r="N58" s="6">
        <v>1</v>
      </c>
      <c r="O58" s="7">
        <f t="shared" si="3"/>
        <v>3.3333333333333335</v>
      </c>
    </row>
    <row r="59" spans="1:15" ht="30" x14ac:dyDescent="0.25">
      <c r="A59" s="2">
        <v>150</v>
      </c>
      <c r="B59" s="2">
        <v>180</v>
      </c>
      <c r="C59" s="3">
        <v>1</v>
      </c>
      <c r="D59" s="2" t="s">
        <v>131</v>
      </c>
      <c r="E59" s="2">
        <v>30</v>
      </c>
      <c r="F59" s="2">
        <v>30</v>
      </c>
      <c r="G59" s="3">
        <f t="shared" si="2"/>
        <v>100</v>
      </c>
      <c r="H59" s="3">
        <v>-55.4</v>
      </c>
      <c r="I59" s="3">
        <v>-63</v>
      </c>
      <c r="J59" s="3">
        <v>-52</v>
      </c>
      <c r="K59" s="2">
        <v>0</v>
      </c>
      <c r="L59" s="2" t="s">
        <v>48</v>
      </c>
      <c r="M59" s="2" t="s">
        <v>168</v>
      </c>
      <c r="N59" s="6">
        <v>0</v>
      </c>
      <c r="O59" s="7">
        <f t="shared" si="3"/>
        <v>0</v>
      </c>
    </row>
    <row r="60" spans="1:15" ht="30" x14ac:dyDescent="0.25">
      <c r="A60" s="2">
        <v>150</v>
      </c>
      <c r="B60" s="2">
        <v>180</v>
      </c>
      <c r="C60" s="3">
        <v>1.5</v>
      </c>
      <c r="D60" s="2" t="s">
        <v>131</v>
      </c>
      <c r="E60" s="2">
        <v>30</v>
      </c>
      <c r="F60" s="2">
        <v>26</v>
      </c>
      <c r="G60" s="3">
        <f t="shared" si="2"/>
        <v>86.666666666666671</v>
      </c>
      <c r="H60" s="3">
        <v>-66.5</v>
      </c>
      <c r="I60" s="3">
        <v>-69.5</v>
      </c>
      <c r="J60" s="3">
        <v>-62.5</v>
      </c>
      <c r="K60" s="2">
        <v>0</v>
      </c>
      <c r="L60" s="2" t="s">
        <v>48</v>
      </c>
      <c r="M60" s="2" t="s">
        <v>169</v>
      </c>
      <c r="N60" s="6">
        <v>4</v>
      </c>
      <c r="O60" s="7">
        <f t="shared" si="3"/>
        <v>13.333333333333334</v>
      </c>
    </row>
    <row r="61" spans="1:15" ht="30" customHeight="1" x14ac:dyDescent="0.25">
      <c r="A61" s="2">
        <v>150</v>
      </c>
      <c r="B61" s="2">
        <v>180</v>
      </c>
      <c r="C61" s="3">
        <v>2</v>
      </c>
      <c r="D61" s="2" t="s">
        <v>131</v>
      </c>
      <c r="E61" s="2">
        <v>30</v>
      </c>
      <c r="F61" s="2">
        <v>28</v>
      </c>
      <c r="G61" s="3">
        <f t="shared" si="2"/>
        <v>93.333333333333329</v>
      </c>
      <c r="H61" s="3">
        <v>-66.8</v>
      </c>
      <c r="I61" s="3">
        <v>-69.5</v>
      </c>
      <c r="J61" s="3">
        <v>-63.5</v>
      </c>
      <c r="K61" s="2">
        <v>0</v>
      </c>
      <c r="L61" s="2" t="s">
        <v>48</v>
      </c>
      <c r="M61" s="2" t="s">
        <v>168</v>
      </c>
      <c r="N61" s="6">
        <v>2</v>
      </c>
      <c r="O61" s="7">
        <f t="shared" si="3"/>
        <v>6.666666666666667</v>
      </c>
    </row>
    <row r="62" spans="1:15" ht="30" customHeight="1" x14ac:dyDescent="0.25">
      <c r="A62" s="2">
        <v>150</v>
      </c>
      <c r="B62" s="2">
        <v>180</v>
      </c>
      <c r="C62" s="3">
        <v>2.5</v>
      </c>
      <c r="D62" s="2" t="s">
        <v>131</v>
      </c>
      <c r="E62" s="2">
        <v>30</v>
      </c>
      <c r="F62" s="2">
        <v>26</v>
      </c>
      <c r="G62" s="3">
        <f t="shared" si="2"/>
        <v>86.666666666666671</v>
      </c>
      <c r="H62" s="3">
        <v>-72.2</v>
      </c>
      <c r="I62" s="3">
        <v>-79.5</v>
      </c>
      <c r="J62" s="3">
        <v>-69.5</v>
      </c>
      <c r="K62" s="2">
        <v>0</v>
      </c>
      <c r="L62" s="2" t="s">
        <v>48</v>
      </c>
      <c r="M62" s="2" t="s">
        <v>169</v>
      </c>
      <c r="N62" s="6">
        <v>4</v>
      </c>
      <c r="O62" s="7">
        <f t="shared" si="3"/>
        <v>13.333333333333334</v>
      </c>
    </row>
    <row r="63" spans="1:15" ht="30" customHeight="1" x14ac:dyDescent="0.25">
      <c r="A63" s="2">
        <v>150</v>
      </c>
      <c r="B63" s="2">
        <v>180</v>
      </c>
      <c r="C63" s="3">
        <v>3</v>
      </c>
      <c r="D63" s="2" t="s">
        <v>131</v>
      </c>
      <c r="E63" s="2">
        <v>30</v>
      </c>
      <c r="F63" s="2">
        <v>19</v>
      </c>
      <c r="G63" s="3">
        <f t="shared" si="2"/>
        <v>63.333333333333329</v>
      </c>
      <c r="H63" s="3">
        <v>-73.900000000000006</v>
      </c>
      <c r="I63" s="3">
        <v>-77.5</v>
      </c>
      <c r="J63" s="3">
        <v>-71.5</v>
      </c>
      <c r="K63" s="2">
        <v>0</v>
      </c>
      <c r="L63" s="2" t="s">
        <v>48</v>
      </c>
      <c r="M63" s="2" t="s">
        <v>170</v>
      </c>
      <c r="N63" s="6">
        <v>11</v>
      </c>
      <c r="O63" s="7">
        <f t="shared" si="3"/>
        <v>36.666666666666664</v>
      </c>
    </row>
    <row r="64" spans="1:15" ht="30" customHeight="1" x14ac:dyDescent="0.25">
      <c r="A64" s="2">
        <v>150</v>
      </c>
      <c r="B64" s="2">
        <v>180</v>
      </c>
      <c r="C64" s="3">
        <v>3.5</v>
      </c>
      <c r="D64" s="2" t="s">
        <v>131</v>
      </c>
      <c r="E64" s="2">
        <v>30</v>
      </c>
      <c r="F64" s="2">
        <v>9</v>
      </c>
      <c r="G64" s="3">
        <f t="shared" si="2"/>
        <v>30</v>
      </c>
      <c r="H64" s="3">
        <v>-78</v>
      </c>
      <c r="I64" s="3">
        <v>-79</v>
      </c>
      <c r="J64" s="3">
        <v>-76.5</v>
      </c>
      <c r="K64" s="2">
        <v>0</v>
      </c>
      <c r="L64" s="2" t="s">
        <v>48</v>
      </c>
      <c r="M64" s="2" t="s">
        <v>170</v>
      </c>
      <c r="N64" s="6">
        <v>21</v>
      </c>
      <c r="O64" s="7">
        <f t="shared" si="3"/>
        <v>70</v>
      </c>
    </row>
    <row r="65" spans="1:15" ht="30" customHeight="1" x14ac:dyDescent="0.25">
      <c r="A65" s="2">
        <v>150</v>
      </c>
      <c r="B65" s="2">
        <v>180</v>
      </c>
      <c r="C65" s="3">
        <v>4</v>
      </c>
      <c r="D65" s="2" t="s">
        <v>131</v>
      </c>
      <c r="E65" s="2">
        <v>30</v>
      </c>
      <c r="F65" s="2">
        <v>2</v>
      </c>
      <c r="G65" s="3">
        <f t="shared" si="2"/>
        <v>6.666666666666667</v>
      </c>
      <c r="H65" s="3">
        <v>-81</v>
      </c>
      <c r="I65" s="3">
        <v>-82</v>
      </c>
      <c r="J65" s="3">
        <v>-80</v>
      </c>
      <c r="K65" s="2">
        <v>0</v>
      </c>
      <c r="L65" s="2" t="s">
        <v>48</v>
      </c>
      <c r="M65" s="2" t="s">
        <v>170</v>
      </c>
      <c r="N65" s="6">
        <v>28</v>
      </c>
      <c r="O65" s="7">
        <f t="shared" si="3"/>
        <v>93.333333333333329</v>
      </c>
    </row>
    <row r="66" spans="1:15" ht="30" x14ac:dyDescent="0.25">
      <c r="A66" s="2">
        <v>150</v>
      </c>
      <c r="B66" s="2">
        <v>190</v>
      </c>
      <c r="C66" s="3">
        <v>0.5</v>
      </c>
      <c r="D66" s="2" t="s">
        <v>134</v>
      </c>
      <c r="E66" s="2">
        <v>30</v>
      </c>
      <c r="F66" s="2">
        <v>28</v>
      </c>
      <c r="G66" s="3">
        <f t="shared" ref="G66:G97" si="4">IF(E66&gt;0,F66/E66*100,"")</f>
        <v>93.333333333333329</v>
      </c>
      <c r="H66" s="3">
        <v>-44.9</v>
      </c>
      <c r="I66" s="3">
        <v>-48</v>
      </c>
      <c r="J66" s="3">
        <v>-42</v>
      </c>
      <c r="K66" s="2">
        <v>0</v>
      </c>
      <c r="L66" s="2" t="s">
        <v>49</v>
      </c>
      <c r="M66" s="2" t="s">
        <v>168</v>
      </c>
      <c r="N66" s="6">
        <v>2</v>
      </c>
      <c r="O66" s="7">
        <f t="shared" ref="O66:O97" si="5">IF(E66&gt;0,N66/E66*100,"")</f>
        <v>6.666666666666667</v>
      </c>
    </row>
    <row r="67" spans="1:15" ht="30" x14ac:dyDescent="0.25">
      <c r="A67" s="2">
        <v>150</v>
      </c>
      <c r="B67" s="2">
        <v>190</v>
      </c>
      <c r="C67" s="3">
        <v>1</v>
      </c>
      <c r="D67" s="2" t="s">
        <v>134</v>
      </c>
      <c r="E67" s="2">
        <v>30</v>
      </c>
      <c r="F67" s="2">
        <v>28</v>
      </c>
      <c r="G67" s="3">
        <f t="shared" si="4"/>
        <v>93.333333333333329</v>
      </c>
      <c r="H67" s="3">
        <v>-56.4</v>
      </c>
      <c r="I67" s="3">
        <v>-64.5</v>
      </c>
      <c r="J67" s="3">
        <v>-53.5</v>
      </c>
      <c r="K67" s="2">
        <v>0</v>
      </c>
      <c r="L67" s="2" t="s">
        <v>49</v>
      </c>
      <c r="M67" s="2" t="s">
        <v>168</v>
      </c>
      <c r="N67" s="6">
        <v>2</v>
      </c>
      <c r="O67" s="7">
        <f t="shared" si="5"/>
        <v>6.666666666666667</v>
      </c>
    </row>
    <row r="68" spans="1:15" ht="30" x14ac:dyDescent="0.25">
      <c r="A68" s="2">
        <v>150</v>
      </c>
      <c r="B68" s="2">
        <v>190</v>
      </c>
      <c r="C68" s="3">
        <v>1.5</v>
      </c>
      <c r="D68" s="2" t="s">
        <v>134</v>
      </c>
      <c r="E68" s="2">
        <v>30</v>
      </c>
      <c r="F68" s="2">
        <v>29</v>
      </c>
      <c r="G68" s="3">
        <f t="shared" si="4"/>
        <v>96.666666666666671</v>
      </c>
      <c r="H68" s="3">
        <v>-63.9</v>
      </c>
      <c r="I68" s="3">
        <v>-66.5</v>
      </c>
      <c r="J68" s="3">
        <v>-62</v>
      </c>
      <c r="K68" s="2">
        <v>0</v>
      </c>
      <c r="L68" s="2" t="s">
        <v>49</v>
      </c>
      <c r="M68" s="2" t="s">
        <v>168</v>
      </c>
      <c r="N68" s="6">
        <v>1</v>
      </c>
      <c r="O68" s="7">
        <f t="shared" si="5"/>
        <v>3.3333333333333335</v>
      </c>
    </row>
    <row r="69" spans="1:15" ht="30" customHeight="1" x14ac:dyDescent="0.25">
      <c r="A69" s="2">
        <v>150</v>
      </c>
      <c r="B69" s="2">
        <v>190</v>
      </c>
      <c r="C69" s="3">
        <v>2</v>
      </c>
      <c r="D69" s="2" t="s">
        <v>134</v>
      </c>
      <c r="E69" s="2">
        <v>30</v>
      </c>
      <c r="F69" s="2">
        <v>30</v>
      </c>
      <c r="G69" s="3">
        <f t="shared" si="4"/>
        <v>100</v>
      </c>
      <c r="H69" s="3">
        <v>-67.8</v>
      </c>
      <c r="I69" s="3">
        <v>-75.5</v>
      </c>
      <c r="J69" s="3">
        <v>-65</v>
      </c>
      <c r="K69" s="2">
        <v>0</v>
      </c>
      <c r="L69" s="2" t="s">
        <v>49</v>
      </c>
      <c r="M69" s="2" t="s">
        <v>168</v>
      </c>
      <c r="N69" s="6">
        <v>0</v>
      </c>
      <c r="O69" s="7">
        <f t="shared" si="5"/>
        <v>0</v>
      </c>
    </row>
    <row r="70" spans="1:15" ht="30" customHeight="1" x14ac:dyDescent="0.25">
      <c r="A70" s="2">
        <v>150</v>
      </c>
      <c r="B70" s="2">
        <v>190</v>
      </c>
      <c r="C70" s="3">
        <v>2.5</v>
      </c>
      <c r="D70" s="2" t="s">
        <v>134</v>
      </c>
      <c r="E70" s="2">
        <v>30</v>
      </c>
      <c r="F70" s="2">
        <v>27</v>
      </c>
      <c r="G70" s="3">
        <f t="shared" si="4"/>
        <v>90</v>
      </c>
      <c r="H70" s="3">
        <v>-69.099999999999994</v>
      </c>
      <c r="I70" s="3">
        <v>-76</v>
      </c>
      <c r="J70" s="3">
        <v>-67</v>
      </c>
      <c r="K70" s="2">
        <v>0</v>
      </c>
      <c r="L70" s="2" t="s">
        <v>49</v>
      </c>
      <c r="M70" s="2" t="s">
        <v>168</v>
      </c>
      <c r="N70" s="6">
        <v>3</v>
      </c>
      <c r="O70" s="7">
        <f t="shared" si="5"/>
        <v>10</v>
      </c>
    </row>
    <row r="71" spans="1:15" ht="30" customHeight="1" x14ac:dyDescent="0.25">
      <c r="A71" s="2">
        <v>150</v>
      </c>
      <c r="B71" s="2">
        <v>190</v>
      </c>
      <c r="C71" s="3">
        <v>3</v>
      </c>
      <c r="D71" s="2" t="s">
        <v>134</v>
      </c>
      <c r="E71" s="2">
        <v>30</v>
      </c>
      <c r="F71" s="2">
        <v>17</v>
      </c>
      <c r="G71" s="3">
        <f t="shared" si="4"/>
        <v>56.666666666666664</v>
      </c>
      <c r="H71" s="3">
        <v>-74.900000000000006</v>
      </c>
      <c r="I71" s="3">
        <v>-78.5</v>
      </c>
      <c r="J71" s="3">
        <v>-71.5</v>
      </c>
      <c r="K71" s="2">
        <v>0</v>
      </c>
      <c r="L71" s="2" t="s">
        <v>49</v>
      </c>
      <c r="M71" s="2" t="s">
        <v>170</v>
      </c>
      <c r="N71" s="6">
        <v>13</v>
      </c>
      <c r="O71" s="7">
        <f t="shared" si="5"/>
        <v>43.333333333333336</v>
      </c>
    </row>
    <row r="72" spans="1:15" ht="30" customHeight="1" x14ac:dyDescent="0.25">
      <c r="A72" s="2">
        <v>150</v>
      </c>
      <c r="B72" s="2">
        <v>190</v>
      </c>
      <c r="C72" s="3">
        <v>3.5</v>
      </c>
      <c r="D72" s="2" t="s">
        <v>134</v>
      </c>
      <c r="E72" s="2">
        <v>30</v>
      </c>
      <c r="F72" s="2">
        <v>13</v>
      </c>
      <c r="G72" s="3">
        <f t="shared" si="4"/>
        <v>43.333333333333336</v>
      </c>
      <c r="H72" s="3">
        <v>-75.8</v>
      </c>
      <c r="I72" s="3">
        <v>-78</v>
      </c>
      <c r="J72" s="3">
        <v>-74</v>
      </c>
      <c r="K72" s="2">
        <v>0</v>
      </c>
      <c r="L72" s="2" t="s">
        <v>49</v>
      </c>
      <c r="M72" s="2" t="s">
        <v>170</v>
      </c>
      <c r="N72" s="6">
        <v>17</v>
      </c>
      <c r="O72" s="7">
        <f t="shared" si="5"/>
        <v>56.666666666666664</v>
      </c>
    </row>
    <row r="73" spans="1:15" ht="30" x14ac:dyDescent="0.25">
      <c r="A73" s="2">
        <v>150</v>
      </c>
      <c r="B73" s="2">
        <v>190</v>
      </c>
      <c r="C73" s="3">
        <v>4</v>
      </c>
      <c r="D73" s="2" t="s">
        <v>134</v>
      </c>
      <c r="E73" s="2">
        <v>30</v>
      </c>
      <c r="F73" s="2">
        <v>2</v>
      </c>
      <c r="G73" s="3">
        <f t="shared" si="4"/>
        <v>6.666666666666667</v>
      </c>
      <c r="H73" s="3">
        <v>-80</v>
      </c>
      <c r="I73" s="3">
        <v>-80.5</v>
      </c>
      <c r="J73" s="3">
        <v>-79.5</v>
      </c>
      <c r="K73" s="2">
        <v>0</v>
      </c>
      <c r="L73" s="2" t="s">
        <v>49</v>
      </c>
      <c r="M73" s="2" t="s">
        <v>170</v>
      </c>
      <c r="N73" s="6">
        <v>28</v>
      </c>
      <c r="O73" s="7">
        <f t="shared" si="5"/>
        <v>93.333333333333329</v>
      </c>
    </row>
    <row r="74" spans="1:15" ht="30" x14ac:dyDescent="0.25">
      <c r="A74" s="2">
        <v>150</v>
      </c>
      <c r="B74" s="2">
        <v>200</v>
      </c>
      <c r="C74" s="3">
        <v>0.5</v>
      </c>
      <c r="D74" s="2" t="s">
        <v>137</v>
      </c>
      <c r="E74" s="2">
        <v>30</v>
      </c>
      <c r="F74" s="2">
        <v>28</v>
      </c>
      <c r="G74" s="3">
        <f t="shared" si="4"/>
        <v>93.333333333333329</v>
      </c>
      <c r="H74" s="3">
        <v>-54.5</v>
      </c>
      <c r="I74" s="3">
        <v>-60.5</v>
      </c>
      <c r="J74" s="3">
        <v>-51</v>
      </c>
      <c r="K74" s="2">
        <v>0</v>
      </c>
      <c r="L74" s="2" t="s">
        <v>52</v>
      </c>
      <c r="M74" s="2" t="s">
        <v>168</v>
      </c>
      <c r="N74" s="6">
        <v>2</v>
      </c>
      <c r="O74" s="7">
        <f t="shared" si="5"/>
        <v>6.666666666666667</v>
      </c>
    </row>
    <row r="75" spans="1:15" ht="30" x14ac:dyDescent="0.25">
      <c r="A75" s="2">
        <v>150</v>
      </c>
      <c r="B75" s="2">
        <v>200</v>
      </c>
      <c r="C75" s="3">
        <v>1</v>
      </c>
      <c r="D75" s="2" t="s">
        <v>137</v>
      </c>
      <c r="E75" s="2">
        <v>30</v>
      </c>
      <c r="F75" s="2">
        <v>30</v>
      </c>
      <c r="G75" s="3">
        <f t="shared" si="4"/>
        <v>100</v>
      </c>
      <c r="H75" s="3">
        <v>-62.6</v>
      </c>
      <c r="I75" s="3">
        <v>-69</v>
      </c>
      <c r="J75" s="3">
        <v>-59.5</v>
      </c>
      <c r="K75" s="2">
        <v>0</v>
      </c>
      <c r="L75" s="2" t="s">
        <v>52</v>
      </c>
      <c r="M75" s="2" t="s">
        <v>168</v>
      </c>
      <c r="N75" s="6">
        <v>0</v>
      </c>
      <c r="O75" s="7">
        <f t="shared" si="5"/>
        <v>0</v>
      </c>
    </row>
    <row r="76" spans="1:15" ht="30" customHeight="1" x14ac:dyDescent="0.25">
      <c r="A76" s="2">
        <v>150</v>
      </c>
      <c r="B76" s="2">
        <v>200</v>
      </c>
      <c r="C76" s="3">
        <v>1.5</v>
      </c>
      <c r="D76" s="2" t="s">
        <v>137</v>
      </c>
      <c r="E76" s="2">
        <v>30</v>
      </c>
      <c r="F76" s="2">
        <v>26</v>
      </c>
      <c r="G76" s="3">
        <f t="shared" si="4"/>
        <v>86.666666666666671</v>
      </c>
      <c r="H76" s="3">
        <v>-71.8</v>
      </c>
      <c r="I76" s="3">
        <v>-76.5</v>
      </c>
      <c r="J76" s="3">
        <v>-68</v>
      </c>
      <c r="K76" s="2">
        <v>0</v>
      </c>
      <c r="L76" s="2" t="s">
        <v>52</v>
      </c>
      <c r="M76" s="2" t="s">
        <v>169</v>
      </c>
      <c r="N76" s="6">
        <v>4</v>
      </c>
      <c r="O76" s="7">
        <f t="shared" si="5"/>
        <v>13.333333333333334</v>
      </c>
    </row>
    <row r="77" spans="1:15" ht="30" customHeight="1" x14ac:dyDescent="0.25">
      <c r="A77" s="2">
        <v>150</v>
      </c>
      <c r="B77" s="2">
        <v>200</v>
      </c>
      <c r="C77" s="3">
        <v>2</v>
      </c>
      <c r="D77" s="2" t="s">
        <v>137</v>
      </c>
      <c r="E77" s="2">
        <v>30</v>
      </c>
      <c r="F77" s="2">
        <v>20</v>
      </c>
      <c r="G77" s="3">
        <f t="shared" si="4"/>
        <v>66.666666666666657</v>
      </c>
      <c r="H77" s="3">
        <v>-73</v>
      </c>
      <c r="I77" s="3">
        <v>-76</v>
      </c>
      <c r="J77" s="3">
        <v>-70.5</v>
      </c>
      <c r="K77" s="2">
        <v>0</v>
      </c>
      <c r="L77" s="2" t="s">
        <v>52</v>
      </c>
      <c r="M77" s="2" t="s">
        <v>170</v>
      </c>
      <c r="N77" s="6">
        <v>10</v>
      </c>
      <c r="O77" s="7">
        <f t="shared" si="5"/>
        <v>33.333333333333329</v>
      </c>
    </row>
    <row r="78" spans="1:15" ht="30" customHeight="1" x14ac:dyDescent="0.25">
      <c r="A78" s="2">
        <v>150</v>
      </c>
      <c r="B78" s="2">
        <v>200</v>
      </c>
      <c r="C78" s="3">
        <v>2.5</v>
      </c>
      <c r="D78" s="2" t="s">
        <v>137</v>
      </c>
      <c r="E78" s="2">
        <v>30</v>
      </c>
      <c r="F78" s="2">
        <v>10</v>
      </c>
      <c r="G78" s="3">
        <f t="shared" si="4"/>
        <v>33.333333333333329</v>
      </c>
      <c r="H78" s="3">
        <v>-76.400000000000006</v>
      </c>
      <c r="I78" s="3">
        <v>-78.5</v>
      </c>
      <c r="J78" s="3">
        <v>-75</v>
      </c>
      <c r="K78" s="2">
        <v>0</v>
      </c>
      <c r="L78" s="2" t="s">
        <v>52</v>
      </c>
      <c r="M78" s="2" t="s">
        <v>170</v>
      </c>
      <c r="N78" s="6">
        <v>20</v>
      </c>
      <c r="O78" s="7">
        <f t="shared" si="5"/>
        <v>66.666666666666657</v>
      </c>
    </row>
    <row r="79" spans="1:15" ht="30" customHeight="1" x14ac:dyDescent="0.25">
      <c r="A79" s="2">
        <v>150</v>
      </c>
      <c r="B79" s="2">
        <v>200</v>
      </c>
      <c r="C79" s="3">
        <v>3</v>
      </c>
      <c r="D79" s="2" t="s">
        <v>137</v>
      </c>
      <c r="E79" s="2">
        <v>30</v>
      </c>
      <c r="F79" s="2">
        <v>0</v>
      </c>
      <c r="G79" s="3">
        <f t="shared" si="4"/>
        <v>0</v>
      </c>
      <c r="H79" s="3"/>
      <c r="I79" s="3"/>
      <c r="J79" s="3"/>
      <c r="K79" s="2">
        <v>0</v>
      </c>
      <c r="L79" s="2" t="s">
        <v>52</v>
      </c>
      <c r="M79" s="2" t="s">
        <v>171</v>
      </c>
      <c r="N79" s="6">
        <v>30</v>
      </c>
      <c r="O79" s="7">
        <f t="shared" si="5"/>
        <v>100</v>
      </c>
    </row>
    <row r="80" spans="1:15" ht="30" customHeight="1" x14ac:dyDescent="0.25">
      <c r="A80" s="2">
        <v>150</v>
      </c>
      <c r="B80" s="2">
        <v>200</v>
      </c>
      <c r="C80" s="3">
        <v>3.5</v>
      </c>
      <c r="D80" s="2" t="s">
        <v>137</v>
      </c>
      <c r="E80" s="2">
        <v>30</v>
      </c>
      <c r="F80" s="2">
        <v>1</v>
      </c>
      <c r="G80" s="3">
        <f t="shared" si="4"/>
        <v>3.3333333333333335</v>
      </c>
      <c r="H80" s="3">
        <v>-83.5</v>
      </c>
      <c r="I80" s="3">
        <v>-83.5</v>
      </c>
      <c r="J80" s="3">
        <v>-83.5</v>
      </c>
      <c r="K80" s="2">
        <v>0</v>
      </c>
      <c r="L80" s="2" t="s">
        <v>52</v>
      </c>
      <c r="M80" s="2" t="s">
        <v>170</v>
      </c>
      <c r="N80" s="6">
        <v>29</v>
      </c>
      <c r="O80" s="7">
        <f t="shared" si="5"/>
        <v>96.666666666666671</v>
      </c>
    </row>
    <row r="81" spans="1:15" ht="30" x14ac:dyDescent="0.25">
      <c r="A81" s="2">
        <v>150</v>
      </c>
      <c r="B81" s="2">
        <v>200</v>
      </c>
      <c r="C81" s="3">
        <v>4</v>
      </c>
      <c r="D81" s="2" t="s">
        <v>137</v>
      </c>
      <c r="E81" s="2">
        <v>30</v>
      </c>
      <c r="F81" s="2">
        <v>1</v>
      </c>
      <c r="G81" s="3">
        <f t="shared" si="4"/>
        <v>3.3333333333333335</v>
      </c>
      <c r="H81" s="3">
        <v>-86.5</v>
      </c>
      <c r="I81" s="3">
        <v>-86.5</v>
      </c>
      <c r="J81" s="3">
        <v>-86.5</v>
      </c>
      <c r="K81" s="2">
        <v>0</v>
      </c>
      <c r="L81" s="2" t="s">
        <v>52</v>
      </c>
      <c r="M81" s="2" t="s">
        <v>170</v>
      </c>
      <c r="N81" s="6">
        <v>29</v>
      </c>
      <c r="O81" s="7">
        <f t="shared" si="5"/>
        <v>96.666666666666671</v>
      </c>
    </row>
    <row r="82" spans="1:15" ht="30" x14ac:dyDescent="0.25">
      <c r="A82" s="2">
        <v>150</v>
      </c>
      <c r="B82" s="2">
        <v>210</v>
      </c>
      <c r="C82" s="3">
        <v>0.5</v>
      </c>
      <c r="D82" s="2" t="s">
        <v>140</v>
      </c>
      <c r="E82" s="2">
        <v>30</v>
      </c>
      <c r="F82" s="2">
        <v>29</v>
      </c>
      <c r="G82" s="3">
        <f t="shared" si="4"/>
        <v>96.666666666666671</v>
      </c>
      <c r="H82" s="3">
        <v>-51.7</v>
      </c>
      <c r="I82" s="3">
        <v>-57</v>
      </c>
      <c r="J82" s="3">
        <v>-48.5</v>
      </c>
      <c r="K82" s="2">
        <v>0</v>
      </c>
      <c r="L82" s="2" t="s">
        <v>49</v>
      </c>
      <c r="M82" s="2" t="s">
        <v>168</v>
      </c>
      <c r="N82" s="6">
        <v>1</v>
      </c>
      <c r="O82" s="7">
        <f t="shared" si="5"/>
        <v>3.3333333333333335</v>
      </c>
    </row>
    <row r="83" spans="1:15" ht="30" x14ac:dyDescent="0.25">
      <c r="A83" s="2">
        <v>150</v>
      </c>
      <c r="B83" s="2">
        <v>210</v>
      </c>
      <c r="C83" s="3">
        <v>1</v>
      </c>
      <c r="D83" s="2" t="s">
        <v>140</v>
      </c>
      <c r="E83" s="2">
        <v>30</v>
      </c>
      <c r="F83" s="2">
        <v>30</v>
      </c>
      <c r="G83" s="3">
        <f t="shared" si="4"/>
        <v>100</v>
      </c>
      <c r="H83" s="3">
        <v>-60.2</v>
      </c>
      <c r="I83" s="3">
        <v>-63.5</v>
      </c>
      <c r="J83" s="3">
        <v>-57</v>
      </c>
      <c r="K83" s="2">
        <v>0</v>
      </c>
      <c r="L83" s="2" t="s">
        <v>49</v>
      </c>
      <c r="M83" s="2" t="s">
        <v>168</v>
      </c>
      <c r="N83" s="6">
        <v>0</v>
      </c>
      <c r="O83" s="7">
        <f t="shared" si="5"/>
        <v>0</v>
      </c>
    </row>
    <row r="84" spans="1:15" ht="30" x14ac:dyDescent="0.25">
      <c r="A84" s="2">
        <v>150</v>
      </c>
      <c r="B84" s="2">
        <v>210</v>
      </c>
      <c r="C84" s="3">
        <v>1.5</v>
      </c>
      <c r="D84" s="2" t="s">
        <v>140</v>
      </c>
      <c r="E84" s="2">
        <v>30</v>
      </c>
      <c r="F84" s="2">
        <v>27</v>
      </c>
      <c r="G84" s="3">
        <f t="shared" si="4"/>
        <v>90</v>
      </c>
      <c r="H84" s="3">
        <v>-68</v>
      </c>
      <c r="I84" s="3">
        <v>-71</v>
      </c>
      <c r="J84" s="3">
        <v>-65.5</v>
      </c>
      <c r="K84" s="2">
        <v>0</v>
      </c>
      <c r="L84" s="2" t="s">
        <v>49</v>
      </c>
      <c r="M84" s="2" t="s">
        <v>168</v>
      </c>
      <c r="N84" s="6">
        <v>3</v>
      </c>
      <c r="O84" s="7">
        <f t="shared" si="5"/>
        <v>10</v>
      </c>
    </row>
    <row r="85" spans="1:15" ht="30" customHeight="1" x14ac:dyDescent="0.25">
      <c r="A85" s="2">
        <v>150</v>
      </c>
      <c r="B85" s="2">
        <v>210</v>
      </c>
      <c r="C85" s="3">
        <v>2</v>
      </c>
      <c r="D85" s="2" t="s">
        <v>140</v>
      </c>
      <c r="E85" s="2">
        <v>30</v>
      </c>
      <c r="F85" s="2">
        <v>26</v>
      </c>
      <c r="G85" s="3">
        <f t="shared" si="4"/>
        <v>86.666666666666671</v>
      </c>
      <c r="H85" s="3">
        <v>-70.099999999999994</v>
      </c>
      <c r="I85" s="3">
        <v>-73</v>
      </c>
      <c r="J85" s="3">
        <v>-67.5</v>
      </c>
      <c r="K85" s="2">
        <v>0</v>
      </c>
      <c r="L85" s="2" t="s">
        <v>49</v>
      </c>
      <c r="M85" s="2" t="s">
        <v>169</v>
      </c>
      <c r="N85" s="6">
        <v>4</v>
      </c>
      <c r="O85" s="7">
        <f t="shared" si="5"/>
        <v>13.333333333333334</v>
      </c>
    </row>
    <row r="86" spans="1:15" ht="30" customHeight="1" x14ac:dyDescent="0.25">
      <c r="A86" s="2">
        <v>150</v>
      </c>
      <c r="B86" s="2">
        <v>210</v>
      </c>
      <c r="C86" s="3">
        <v>2.5</v>
      </c>
      <c r="D86" s="2" t="s">
        <v>140</v>
      </c>
      <c r="E86" s="2">
        <v>30</v>
      </c>
      <c r="F86" s="2">
        <v>24</v>
      </c>
      <c r="G86" s="3">
        <f t="shared" si="4"/>
        <v>80</v>
      </c>
      <c r="H86" s="3">
        <v>-71.2</v>
      </c>
      <c r="I86" s="3">
        <v>-75</v>
      </c>
      <c r="J86" s="3">
        <v>-67.5</v>
      </c>
      <c r="K86" s="2">
        <v>0</v>
      </c>
      <c r="L86" s="2" t="s">
        <v>49</v>
      </c>
      <c r="M86" s="2" t="s">
        <v>169</v>
      </c>
      <c r="N86" s="6">
        <v>6</v>
      </c>
      <c r="O86" s="7">
        <f t="shared" si="5"/>
        <v>20</v>
      </c>
    </row>
    <row r="87" spans="1:15" ht="30" customHeight="1" x14ac:dyDescent="0.25">
      <c r="A87" s="2">
        <v>150</v>
      </c>
      <c r="B87" s="2">
        <v>210</v>
      </c>
      <c r="C87" s="3">
        <v>3</v>
      </c>
      <c r="D87" s="2" t="s">
        <v>140</v>
      </c>
      <c r="E87" s="2">
        <v>30</v>
      </c>
      <c r="F87" s="2">
        <v>14</v>
      </c>
      <c r="G87" s="3">
        <f t="shared" si="4"/>
        <v>46.666666666666664</v>
      </c>
      <c r="H87" s="3">
        <v>-75.8</v>
      </c>
      <c r="I87" s="3">
        <v>-77.5</v>
      </c>
      <c r="J87" s="3">
        <v>-74</v>
      </c>
      <c r="K87" s="2">
        <v>0</v>
      </c>
      <c r="L87" s="2" t="s">
        <v>49</v>
      </c>
      <c r="M87" s="2" t="s">
        <v>170</v>
      </c>
      <c r="N87" s="6">
        <v>16</v>
      </c>
      <c r="O87" s="7">
        <f t="shared" si="5"/>
        <v>53.333333333333336</v>
      </c>
    </row>
    <row r="88" spans="1:15" ht="30" customHeight="1" x14ac:dyDescent="0.25">
      <c r="A88" s="2">
        <v>150</v>
      </c>
      <c r="B88" s="2">
        <v>210</v>
      </c>
      <c r="C88" s="3">
        <v>3.5</v>
      </c>
      <c r="D88" s="2" t="s">
        <v>140</v>
      </c>
      <c r="E88" s="2">
        <v>30</v>
      </c>
      <c r="F88" s="2">
        <v>1</v>
      </c>
      <c r="G88" s="3">
        <f t="shared" si="4"/>
        <v>3.3333333333333335</v>
      </c>
      <c r="H88" s="3">
        <v>-77</v>
      </c>
      <c r="I88" s="3">
        <v>-77</v>
      </c>
      <c r="J88" s="3">
        <v>-77</v>
      </c>
      <c r="K88" s="2">
        <v>0</v>
      </c>
      <c r="L88" s="2" t="s">
        <v>49</v>
      </c>
      <c r="M88" s="2" t="s">
        <v>170</v>
      </c>
      <c r="N88" s="6">
        <v>29</v>
      </c>
      <c r="O88" s="7">
        <f t="shared" si="5"/>
        <v>96.666666666666671</v>
      </c>
    </row>
    <row r="89" spans="1:15" ht="30" x14ac:dyDescent="0.25">
      <c r="A89" s="2">
        <v>150</v>
      </c>
      <c r="B89" s="2">
        <v>210</v>
      </c>
      <c r="C89" s="3">
        <v>4</v>
      </c>
      <c r="D89" s="2" t="s">
        <v>140</v>
      </c>
      <c r="E89" s="2">
        <v>30</v>
      </c>
      <c r="F89" s="2">
        <v>1</v>
      </c>
      <c r="G89" s="3">
        <f t="shared" si="4"/>
        <v>3.3333333333333335</v>
      </c>
      <c r="H89" s="3">
        <v>-79.5</v>
      </c>
      <c r="I89" s="3">
        <v>-79.5</v>
      </c>
      <c r="J89" s="3">
        <v>-79.5</v>
      </c>
      <c r="K89" s="2">
        <v>0</v>
      </c>
      <c r="L89" s="2" t="s">
        <v>49</v>
      </c>
      <c r="M89" s="2" t="s">
        <v>170</v>
      </c>
      <c r="N89" s="6">
        <v>29</v>
      </c>
      <c r="O89" s="7">
        <f t="shared" si="5"/>
        <v>96.666666666666671</v>
      </c>
    </row>
    <row r="90" spans="1:15" ht="30" x14ac:dyDescent="0.25">
      <c r="A90" s="2">
        <v>150</v>
      </c>
      <c r="B90" s="2">
        <v>220</v>
      </c>
      <c r="C90" s="3">
        <v>0.5</v>
      </c>
      <c r="D90" s="2" t="s">
        <v>143</v>
      </c>
      <c r="E90" s="2">
        <v>30</v>
      </c>
      <c r="F90" s="2">
        <v>29</v>
      </c>
      <c r="G90" s="3">
        <f t="shared" si="4"/>
        <v>96.666666666666671</v>
      </c>
      <c r="H90" s="3">
        <v>-57.4</v>
      </c>
      <c r="I90" s="3">
        <v>-63</v>
      </c>
      <c r="J90" s="3">
        <v>-55</v>
      </c>
      <c r="K90" s="2">
        <v>0</v>
      </c>
      <c r="L90" s="2" t="s">
        <v>45</v>
      </c>
      <c r="M90" s="2" t="s">
        <v>168</v>
      </c>
      <c r="N90" s="6">
        <v>1</v>
      </c>
      <c r="O90" s="7">
        <f t="shared" si="5"/>
        <v>3.3333333333333335</v>
      </c>
    </row>
    <row r="91" spans="1:15" ht="30" customHeight="1" x14ac:dyDescent="0.25">
      <c r="A91" s="2">
        <v>150</v>
      </c>
      <c r="B91" s="2">
        <v>220</v>
      </c>
      <c r="C91" s="3">
        <v>1</v>
      </c>
      <c r="D91" s="2" t="s">
        <v>143</v>
      </c>
      <c r="E91" s="2">
        <v>30</v>
      </c>
      <c r="F91" s="2">
        <v>29</v>
      </c>
      <c r="G91" s="3">
        <f t="shared" si="4"/>
        <v>96.666666666666671</v>
      </c>
      <c r="H91" s="3">
        <v>-57.6</v>
      </c>
      <c r="I91" s="3">
        <v>-64.5</v>
      </c>
      <c r="J91" s="3">
        <v>-54</v>
      </c>
      <c r="K91" s="2">
        <v>0</v>
      </c>
      <c r="L91" s="2" t="s">
        <v>45</v>
      </c>
      <c r="M91" s="2" t="s">
        <v>168</v>
      </c>
      <c r="N91" s="6">
        <v>1</v>
      </c>
      <c r="O91" s="7">
        <f t="shared" si="5"/>
        <v>3.3333333333333335</v>
      </c>
    </row>
    <row r="92" spans="1:15" ht="30" customHeight="1" x14ac:dyDescent="0.25">
      <c r="A92" s="2">
        <v>150</v>
      </c>
      <c r="B92" s="2">
        <v>220</v>
      </c>
      <c r="C92" s="3">
        <v>1.5</v>
      </c>
      <c r="D92" s="2" t="s">
        <v>143</v>
      </c>
      <c r="E92" s="2">
        <v>30</v>
      </c>
      <c r="F92" s="2">
        <v>29</v>
      </c>
      <c r="G92" s="3">
        <f t="shared" si="4"/>
        <v>96.666666666666671</v>
      </c>
      <c r="H92" s="3">
        <v>-69.400000000000006</v>
      </c>
      <c r="I92" s="3">
        <v>-74.5</v>
      </c>
      <c r="J92" s="3">
        <v>-65.5</v>
      </c>
      <c r="K92" s="2">
        <v>0</v>
      </c>
      <c r="L92" s="2" t="s">
        <v>45</v>
      </c>
      <c r="M92" s="2" t="s">
        <v>168</v>
      </c>
      <c r="N92" s="6">
        <v>1</v>
      </c>
      <c r="O92" s="7">
        <f t="shared" si="5"/>
        <v>3.3333333333333335</v>
      </c>
    </row>
    <row r="93" spans="1:15" ht="30" customHeight="1" x14ac:dyDescent="0.25">
      <c r="A93" s="2">
        <v>150</v>
      </c>
      <c r="B93" s="2">
        <v>220</v>
      </c>
      <c r="C93" s="3">
        <v>2</v>
      </c>
      <c r="D93" s="2" t="s">
        <v>143</v>
      </c>
      <c r="E93" s="2">
        <v>30</v>
      </c>
      <c r="F93" s="2">
        <v>29</v>
      </c>
      <c r="G93" s="3">
        <f t="shared" si="4"/>
        <v>96.666666666666671</v>
      </c>
      <c r="H93" s="3">
        <v>-66.400000000000006</v>
      </c>
      <c r="I93" s="3">
        <v>-71</v>
      </c>
      <c r="J93" s="3">
        <v>-63</v>
      </c>
      <c r="K93" s="2">
        <v>0</v>
      </c>
      <c r="L93" s="2" t="s">
        <v>45</v>
      </c>
      <c r="M93" s="2" t="s">
        <v>168</v>
      </c>
      <c r="N93" s="6">
        <v>1</v>
      </c>
      <c r="O93" s="7">
        <f t="shared" si="5"/>
        <v>3.3333333333333335</v>
      </c>
    </row>
    <row r="94" spans="1:15" ht="30" customHeight="1" x14ac:dyDescent="0.25">
      <c r="A94" s="2">
        <v>150</v>
      </c>
      <c r="B94" s="2">
        <v>220</v>
      </c>
      <c r="C94" s="3">
        <v>2.5</v>
      </c>
      <c r="D94" s="2" t="s">
        <v>143</v>
      </c>
      <c r="E94" s="2">
        <v>30</v>
      </c>
      <c r="F94" s="2">
        <v>21</v>
      </c>
      <c r="G94" s="3">
        <f t="shared" si="4"/>
        <v>70</v>
      </c>
      <c r="H94" s="3">
        <v>-72.3</v>
      </c>
      <c r="I94" s="3">
        <v>-76.5</v>
      </c>
      <c r="J94" s="3">
        <v>-70.5</v>
      </c>
      <c r="K94" s="2">
        <v>0</v>
      </c>
      <c r="L94" s="2" t="s">
        <v>45</v>
      </c>
      <c r="M94" s="2" t="s">
        <v>169</v>
      </c>
      <c r="N94" s="6">
        <v>9</v>
      </c>
      <c r="O94" s="7">
        <f t="shared" si="5"/>
        <v>30</v>
      </c>
    </row>
    <row r="95" spans="1:15" ht="30" customHeight="1" x14ac:dyDescent="0.25">
      <c r="A95" s="2">
        <v>150</v>
      </c>
      <c r="B95" s="2">
        <v>220</v>
      </c>
      <c r="C95" s="3">
        <v>3</v>
      </c>
      <c r="D95" s="2" t="s">
        <v>143</v>
      </c>
      <c r="E95" s="2">
        <v>30</v>
      </c>
      <c r="F95" s="2">
        <v>18</v>
      </c>
      <c r="G95" s="3">
        <f t="shared" si="4"/>
        <v>60</v>
      </c>
      <c r="H95" s="3">
        <v>-74.400000000000006</v>
      </c>
      <c r="I95" s="3">
        <v>-76</v>
      </c>
      <c r="J95" s="3">
        <v>-72</v>
      </c>
      <c r="K95" s="2">
        <v>0</v>
      </c>
      <c r="L95" s="2" t="s">
        <v>45</v>
      </c>
      <c r="M95" s="2" t="s">
        <v>170</v>
      </c>
      <c r="N95" s="6">
        <v>12</v>
      </c>
      <c r="O95" s="7">
        <f t="shared" si="5"/>
        <v>40</v>
      </c>
    </row>
    <row r="96" spans="1:15" ht="30" customHeight="1" x14ac:dyDescent="0.25">
      <c r="A96" s="2">
        <v>150</v>
      </c>
      <c r="B96" s="2">
        <v>220</v>
      </c>
      <c r="C96" s="3">
        <v>3.5</v>
      </c>
      <c r="D96" s="2" t="s">
        <v>143</v>
      </c>
      <c r="E96" s="2">
        <v>30</v>
      </c>
      <c r="F96" s="2">
        <v>6</v>
      </c>
      <c r="G96" s="3">
        <f t="shared" si="4"/>
        <v>20</v>
      </c>
      <c r="H96" s="3">
        <v>-78.2</v>
      </c>
      <c r="I96" s="3">
        <v>-79.5</v>
      </c>
      <c r="J96" s="3">
        <v>-76.5</v>
      </c>
      <c r="K96" s="2">
        <v>0</v>
      </c>
      <c r="L96" s="2" t="s">
        <v>45</v>
      </c>
      <c r="M96" s="2" t="s">
        <v>170</v>
      </c>
      <c r="N96" s="6">
        <v>24</v>
      </c>
      <c r="O96" s="7">
        <f t="shared" si="5"/>
        <v>80</v>
      </c>
    </row>
    <row r="97" spans="1:15" ht="30" x14ac:dyDescent="0.25">
      <c r="A97" s="2">
        <v>150</v>
      </c>
      <c r="B97" s="2">
        <v>220</v>
      </c>
      <c r="C97" s="3">
        <v>4</v>
      </c>
      <c r="D97" s="2" t="s">
        <v>143</v>
      </c>
      <c r="E97" s="2">
        <v>30</v>
      </c>
      <c r="F97" s="2">
        <v>3</v>
      </c>
      <c r="G97" s="3">
        <f t="shared" si="4"/>
        <v>10</v>
      </c>
      <c r="H97" s="3">
        <v>-78</v>
      </c>
      <c r="I97" s="3">
        <v>-78.5</v>
      </c>
      <c r="J97" s="3">
        <v>-77.5</v>
      </c>
      <c r="K97" s="2">
        <v>0</v>
      </c>
      <c r="L97" s="2" t="s">
        <v>45</v>
      </c>
      <c r="M97" s="2" t="s">
        <v>170</v>
      </c>
      <c r="N97" s="6">
        <v>27</v>
      </c>
      <c r="O97" s="7">
        <f t="shared" si="5"/>
        <v>90</v>
      </c>
    </row>
    <row r="98" spans="1:15" ht="30" customHeight="1" x14ac:dyDescent="0.25">
      <c r="A98" s="2">
        <v>150</v>
      </c>
      <c r="B98" s="2">
        <v>230</v>
      </c>
      <c r="C98" s="3">
        <v>0.5</v>
      </c>
      <c r="D98" s="2" t="s">
        <v>146</v>
      </c>
      <c r="E98" s="2">
        <v>30</v>
      </c>
      <c r="F98" s="2">
        <v>29</v>
      </c>
      <c r="G98" s="3">
        <f t="shared" ref="G98:G121" si="6">IF(E98&gt;0,F98/E98*100,"")</f>
        <v>96.666666666666671</v>
      </c>
      <c r="H98" s="3">
        <v>-57.5</v>
      </c>
      <c r="I98" s="3">
        <v>-61</v>
      </c>
      <c r="J98" s="3">
        <v>-55.5</v>
      </c>
      <c r="K98" s="2">
        <v>0</v>
      </c>
      <c r="L98" s="2" t="s">
        <v>50</v>
      </c>
      <c r="M98" s="2" t="s">
        <v>168</v>
      </c>
      <c r="N98" s="6">
        <v>1</v>
      </c>
      <c r="O98" s="7">
        <f t="shared" ref="O98:O121" si="7">IF(E98&gt;0,N98/E98*100,"")</f>
        <v>3.3333333333333335</v>
      </c>
    </row>
    <row r="99" spans="1:15" ht="30" x14ac:dyDescent="0.25">
      <c r="A99" s="2">
        <v>150</v>
      </c>
      <c r="B99" s="2">
        <v>230</v>
      </c>
      <c r="C99" s="3">
        <v>1</v>
      </c>
      <c r="D99" s="2" t="s">
        <v>146</v>
      </c>
      <c r="E99" s="2">
        <v>30</v>
      </c>
      <c r="F99" s="2">
        <v>28</v>
      </c>
      <c r="G99" s="3">
        <f t="shared" si="6"/>
        <v>93.333333333333329</v>
      </c>
      <c r="H99" s="3">
        <v>-65.7</v>
      </c>
      <c r="I99" s="3">
        <v>-68.5</v>
      </c>
      <c r="J99" s="3">
        <v>-63</v>
      </c>
      <c r="K99" s="2">
        <v>0</v>
      </c>
      <c r="L99" s="2" t="s">
        <v>50</v>
      </c>
      <c r="M99" s="2" t="s">
        <v>168</v>
      </c>
      <c r="N99" s="6">
        <v>2</v>
      </c>
      <c r="O99" s="7">
        <f t="shared" si="7"/>
        <v>6.666666666666667</v>
      </c>
    </row>
    <row r="100" spans="1:15" ht="30" customHeight="1" x14ac:dyDescent="0.25">
      <c r="A100" s="2">
        <v>150</v>
      </c>
      <c r="B100" s="2">
        <v>230</v>
      </c>
      <c r="C100" s="3">
        <v>1.5</v>
      </c>
      <c r="D100" s="2" t="s">
        <v>146</v>
      </c>
      <c r="E100" s="2">
        <v>30</v>
      </c>
      <c r="F100" s="2">
        <v>26</v>
      </c>
      <c r="G100" s="3">
        <f t="shared" si="6"/>
        <v>86.666666666666671</v>
      </c>
      <c r="H100" s="3">
        <v>-69.8</v>
      </c>
      <c r="I100" s="3">
        <v>-75</v>
      </c>
      <c r="J100" s="3">
        <v>-67</v>
      </c>
      <c r="K100" s="2">
        <v>0</v>
      </c>
      <c r="L100" s="2" t="s">
        <v>50</v>
      </c>
      <c r="M100" s="2" t="s">
        <v>169</v>
      </c>
      <c r="N100" s="6">
        <v>4</v>
      </c>
      <c r="O100" s="7">
        <f t="shared" si="7"/>
        <v>13.333333333333334</v>
      </c>
    </row>
    <row r="101" spans="1:15" ht="30" customHeight="1" x14ac:dyDescent="0.25">
      <c r="A101" s="2">
        <v>150</v>
      </c>
      <c r="B101" s="2">
        <v>230</v>
      </c>
      <c r="C101" s="3">
        <v>2</v>
      </c>
      <c r="D101" s="2" t="s">
        <v>146</v>
      </c>
      <c r="E101" s="2">
        <v>30</v>
      </c>
      <c r="F101" s="2">
        <v>18</v>
      </c>
      <c r="G101" s="3">
        <f t="shared" si="6"/>
        <v>60</v>
      </c>
      <c r="H101" s="3">
        <v>-72.900000000000006</v>
      </c>
      <c r="I101" s="3">
        <v>-76</v>
      </c>
      <c r="J101" s="3">
        <v>-69</v>
      </c>
      <c r="K101" s="2">
        <v>0</v>
      </c>
      <c r="L101" s="2" t="s">
        <v>50</v>
      </c>
      <c r="M101" s="2" t="s">
        <v>170</v>
      </c>
      <c r="N101" s="6">
        <v>12</v>
      </c>
      <c r="O101" s="7">
        <f t="shared" si="7"/>
        <v>40</v>
      </c>
    </row>
    <row r="102" spans="1:15" ht="30" customHeight="1" x14ac:dyDescent="0.25">
      <c r="A102" s="2">
        <v>150</v>
      </c>
      <c r="B102" s="2">
        <v>230</v>
      </c>
      <c r="C102" s="3">
        <v>2.5</v>
      </c>
      <c r="D102" s="2" t="s">
        <v>146</v>
      </c>
      <c r="E102" s="2">
        <v>30</v>
      </c>
      <c r="F102" s="2">
        <v>21</v>
      </c>
      <c r="G102" s="3">
        <f t="shared" si="6"/>
        <v>70</v>
      </c>
      <c r="H102" s="3">
        <v>-74.400000000000006</v>
      </c>
      <c r="I102" s="3">
        <v>-78</v>
      </c>
      <c r="J102" s="3">
        <v>-71.5</v>
      </c>
      <c r="K102" s="2">
        <v>0</v>
      </c>
      <c r="L102" s="2" t="s">
        <v>50</v>
      </c>
      <c r="M102" s="2" t="s">
        <v>169</v>
      </c>
      <c r="N102" s="6">
        <v>9</v>
      </c>
      <c r="O102" s="7">
        <f t="shared" si="7"/>
        <v>30</v>
      </c>
    </row>
    <row r="103" spans="1:15" ht="30" customHeight="1" x14ac:dyDescent="0.25">
      <c r="A103" s="2">
        <v>150</v>
      </c>
      <c r="B103" s="2">
        <v>230</v>
      </c>
      <c r="C103" s="3">
        <v>3</v>
      </c>
      <c r="D103" s="2" t="s">
        <v>146</v>
      </c>
      <c r="E103" s="2">
        <v>30</v>
      </c>
      <c r="F103" s="2">
        <v>12</v>
      </c>
      <c r="G103" s="3">
        <f t="shared" si="6"/>
        <v>40</v>
      </c>
      <c r="H103" s="3">
        <v>-76.3</v>
      </c>
      <c r="I103" s="3">
        <v>-78</v>
      </c>
      <c r="J103" s="3">
        <v>-74</v>
      </c>
      <c r="K103" s="2">
        <v>0</v>
      </c>
      <c r="L103" s="2" t="s">
        <v>50</v>
      </c>
      <c r="M103" s="2" t="s">
        <v>170</v>
      </c>
      <c r="N103" s="6">
        <v>18</v>
      </c>
      <c r="O103" s="7">
        <f t="shared" si="7"/>
        <v>60</v>
      </c>
    </row>
    <row r="104" spans="1:15" ht="30" customHeight="1" x14ac:dyDescent="0.25">
      <c r="A104" s="2">
        <v>150</v>
      </c>
      <c r="B104" s="2">
        <v>230</v>
      </c>
      <c r="C104" s="3">
        <v>3.5</v>
      </c>
      <c r="D104" s="2" t="s">
        <v>146</v>
      </c>
      <c r="E104" s="2">
        <v>30</v>
      </c>
      <c r="F104" s="2">
        <v>4</v>
      </c>
      <c r="G104" s="3">
        <f t="shared" si="6"/>
        <v>13.333333333333334</v>
      </c>
      <c r="H104" s="3">
        <v>-80</v>
      </c>
      <c r="I104" s="3">
        <v>-81</v>
      </c>
      <c r="J104" s="3">
        <v>-79</v>
      </c>
      <c r="K104" s="2">
        <v>0</v>
      </c>
      <c r="L104" s="2" t="s">
        <v>50</v>
      </c>
      <c r="M104" s="2" t="s">
        <v>170</v>
      </c>
      <c r="N104" s="6">
        <v>26</v>
      </c>
      <c r="O104" s="7">
        <f t="shared" si="7"/>
        <v>86.666666666666671</v>
      </c>
    </row>
    <row r="105" spans="1:15" x14ac:dyDescent="0.25">
      <c r="A105" s="2">
        <v>150</v>
      </c>
      <c r="B105" s="2">
        <v>230</v>
      </c>
      <c r="C105" s="3">
        <v>4</v>
      </c>
      <c r="D105" s="2" t="s">
        <v>146</v>
      </c>
      <c r="E105" s="2">
        <v>30</v>
      </c>
      <c r="F105" s="2">
        <v>0</v>
      </c>
      <c r="G105" s="3">
        <f t="shared" si="6"/>
        <v>0</v>
      </c>
      <c r="H105" s="3"/>
      <c r="I105" s="3"/>
      <c r="J105" s="3"/>
      <c r="K105" s="2">
        <v>0</v>
      </c>
      <c r="L105" s="2" t="s">
        <v>50</v>
      </c>
      <c r="M105" s="2" t="s">
        <v>171</v>
      </c>
      <c r="N105" s="6">
        <v>30</v>
      </c>
      <c r="O105" s="7">
        <f t="shared" si="7"/>
        <v>100</v>
      </c>
    </row>
    <row r="106" spans="1:15" ht="30" customHeight="1" x14ac:dyDescent="0.25">
      <c r="A106" s="2">
        <v>150</v>
      </c>
      <c r="B106" s="2">
        <v>240</v>
      </c>
      <c r="C106" s="3">
        <v>0.5</v>
      </c>
      <c r="D106" s="2" t="s">
        <v>150</v>
      </c>
      <c r="E106" s="2">
        <v>30</v>
      </c>
      <c r="F106" s="2">
        <v>30</v>
      </c>
      <c r="G106" s="3">
        <f t="shared" si="6"/>
        <v>100</v>
      </c>
      <c r="H106" s="3">
        <v>-58.1</v>
      </c>
      <c r="I106" s="3">
        <v>-63</v>
      </c>
      <c r="J106" s="3">
        <v>-55.5</v>
      </c>
      <c r="K106" s="2">
        <v>0</v>
      </c>
      <c r="L106" s="2" t="s">
        <v>48</v>
      </c>
      <c r="M106" s="2" t="s">
        <v>168</v>
      </c>
      <c r="N106" s="6">
        <v>0</v>
      </c>
      <c r="O106" s="7">
        <f t="shared" si="7"/>
        <v>0</v>
      </c>
    </row>
    <row r="107" spans="1:15" ht="30" customHeight="1" x14ac:dyDescent="0.25">
      <c r="A107" s="2">
        <v>150</v>
      </c>
      <c r="B107" s="2">
        <v>240</v>
      </c>
      <c r="C107" s="3">
        <v>1</v>
      </c>
      <c r="D107" s="2" t="s">
        <v>150</v>
      </c>
      <c r="E107" s="2">
        <v>30</v>
      </c>
      <c r="F107" s="2">
        <v>29</v>
      </c>
      <c r="G107" s="3">
        <f t="shared" si="6"/>
        <v>96.666666666666671</v>
      </c>
      <c r="H107" s="3">
        <v>-61.3</v>
      </c>
      <c r="I107" s="3">
        <v>-65</v>
      </c>
      <c r="J107" s="3">
        <v>-58</v>
      </c>
      <c r="K107" s="2">
        <v>0</v>
      </c>
      <c r="L107" s="2" t="s">
        <v>48</v>
      </c>
      <c r="M107" s="2" t="s">
        <v>168</v>
      </c>
      <c r="N107" s="6">
        <v>1</v>
      </c>
      <c r="O107" s="7">
        <f t="shared" si="7"/>
        <v>3.3333333333333335</v>
      </c>
    </row>
    <row r="108" spans="1:15" ht="30" customHeight="1" x14ac:dyDescent="0.25">
      <c r="A108" s="2">
        <v>150</v>
      </c>
      <c r="B108" s="2">
        <v>240</v>
      </c>
      <c r="C108" s="3">
        <v>1.5</v>
      </c>
      <c r="D108" s="2" t="s">
        <v>150</v>
      </c>
      <c r="E108" s="2">
        <v>30</v>
      </c>
      <c r="F108" s="2">
        <v>26</v>
      </c>
      <c r="G108" s="3">
        <f t="shared" si="6"/>
        <v>86.666666666666671</v>
      </c>
      <c r="H108" s="3">
        <v>-68.599999999999994</v>
      </c>
      <c r="I108" s="3">
        <v>-71.5</v>
      </c>
      <c r="J108" s="3">
        <v>-65.5</v>
      </c>
      <c r="K108" s="2">
        <v>0</v>
      </c>
      <c r="L108" s="2" t="s">
        <v>48</v>
      </c>
      <c r="M108" s="2" t="s">
        <v>169</v>
      </c>
      <c r="N108" s="6">
        <v>4</v>
      </c>
      <c r="O108" s="7">
        <f t="shared" si="7"/>
        <v>13.333333333333334</v>
      </c>
    </row>
    <row r="109" spans="1:15" ht="30" customHeight="1" x14ac:dyDescent="0.25">
      <c r="A109" s="2">
        <v>150</v>
      </c>
      <c r="B109" s="2">
        <v>240</v>
      </c>
      <c r="C109" s="3">
        <v>2</v>
      </c>
      <c r="D109" s="2" t="s">
        <v>150</v>
      </c>
      <c r="E109" s="2">
        <v>30</v>
      </c>
      <c r="F109" s="2">
        <v>28</v>
      </c>
      <c r="G109" s="3">
        <f t="shared" si="6"/>
        <v>93.333333333333329</v>
      </c>
      <c r="H109" s="3">
        <v>-69.8</v>
      </c>
      <c r="I109" s="3">
        <v>-72.5</v>
      </c>
      <c r="J109" s="3">
        <v>-67</v>
      </c>
      <c r="K109" s="2">
        <v>0</v>
      </c>
      <c r="L109" s="2" t="s">
        <v>48</v>
      </c>
      <c r="M109" s="2" t="s">
        <v>168</v>
      </c>
      <c r="N109" s="6">
        <v>2</v>
      </c>
      <c r="O109" s="7">
        <f t="shared" si="7"/>
        <v>6.666666666666667</v>
      </c>
    </row>
    <row r="110" spans="1:15" ht="30" customHeight="1" x14ac:dyDescent="0.25">
      <c r="A110" s="2">
        <v>150</v>
      </c>
      <c r="B110" s="2">
        <v>240</v>
      </c>
      <c r="C110" s="3">
        <v>2.5</v>
      </c>
      <c r="D110" s="2" t="s">
        <v>150</v>
      </c>
      <c r="E110" s="2">
        <v>30</v>
      </c>
      <c r="F110" s="2">
        <v>23</v>
      </c>
      <c r="G110" s="3">
        <f t="shared" si="6"/>
        <v>76.666666666666671</v>
      </c>
      <c r="H110" s="3">
        <v>-72.7</v>
      </c>
      <c r="I110" s="3">
        <v>-77</v>
      </c>
      <c r="J110" s="3">
        <v>-69.5</v>
      </c>
      <c r="K110" s="2">
        <v>0</v>
      </c>
      <c r="L110" s="2" t="s">
        <v>48</v>
      </c>
      <c r="M110" s="2" t="s">
        <v>169</v>
      </c>
      <c r="N110" s="6">
        <v>7</v>
      </c>
      <c r="O110" s="7">
        <f t="shared" si="7"/>
        <v>23.333333333333332</v>
      </c>
    </row>
    <row r="111" spans="1:15" ht="30" customHeight="1" x14ac:dyDescent="0.25">
      <c r="A111" s="2">
        <v>150</v>
      </c>
      <c r="B111" s="2">
        <v>240</v>
      </c>
      <c r="C111" s="3">
        <v>3</v>
      </c>
      <c r="D111" s="2" t="s">
        <v>150</v>
      </c>
      <c r="E111" s="2">
        <v>30</v>
      </c>
      <c r="F111" s="2">
        <v>12</v>
      </c>
      <c r="G111" s="3">
        <f t="shared" si="6"/>
        <v>40</v>
      </c>
      <c r="H111" s="3">
        <v>-76.2</v>
      </c>
      <c r="I111" s="3">
        <v>-79</v>
      </c>
      <c r="J111" s="3">
        <v>-73</v>
      </c>
      <c r="K111" s="2">
        <v>0</v>
      </c>
      <c r="L111" s="2" t="s">
        <v>48</v>
      </c>
      <c r="M111" s="2" t="s">
        <v>170</v>
      </c>
      <c r="N111" s="6">
        <v>18</v>
      </c>
      <c r="O111" s="7">
        <f t="shared" si="7"/>
        <v>60</v>
      </c>
    </row>
    <row r="112" spans="1:15" ht="30" customHeight="1" x14ac:dyDescent="0.25">
      <c r="A112" s="2">
        <v>150</v>
      </c>
      <c r="B112" s="2">
        <v>240</v>
      </c>
      <c r="C112" s="3">
        <v>3.5</v>
      </c>
      <c r="D112" s="2" t="s">
        <v>150</v>
      </c>
      <c r="E112" s="2">
        <v>30</v>
      </c>
      <c r="F112" s="2">
        <v>2</v>
      </c>
      <c r="G112" s="3">
        <f t="shared" si="6"/>
        <v>6.666666666666667</v>
      </c>
      <c r="H112" s="3">
        <v>-80</v>
      </c>
      <c r="I112" s="3">
        <v>-83</v>
      </c>
      <c r="J112" s="3">
        <v>-77</v>
      </c>
      <c r="K112" s="2">
        <v>0</v>
      </c>
      <c r="L112" s="2" t="s">
        <v>48</v>
      </c>
      <c r="M112" s="2" t="s">
        <v>170</v>
      </c>
      <c r="N112" s="6">
        <v>28</v>
      </c>
      <c r="O112" s="7">
        <f t="shared" si="7"/>
        <v>93.333333333333329</v>
      </c>
    </row>
    <row r="113" spans="1:15" ht="30" x14ac:dyDescent="0.25">
      <c r="A113" s="2">
        <v>150</v>
      </c>
      <c r="B113" s="2">
        <v>240</v>
      </c>
      <c r="C113" s="3">
        <v>4</v>
      </c>
      <c r="D113" s="2" t="s">
        <v>150</v>
      </c>
      <c r="E113" s="2">
        <v>30</v>
      </c>
      <c r="F113" s="2">
        <v>1</v>
      </c>
      <c r="G113" s="3">
        <f t="shared" si="6"/>
        <v>3.3333333333333335</v>
      </c>
      <c r="H113" s="3">
        <v>-81.5</v>
      </c>
      <c r="I113" s="3">
        <v>-81.5</v>
      </c>
      <c r="J113" s="3">
        <v>-81.5</v>
      </c>
      <c r="K113" s="2">
        <v>0</v>
      </c>
      <c r="L113" s="2" t="s">
        <v>48</v>
      </c>
      <c r="M113" s="2" t="s">
        <v>170</v>
      </c>
      <c r="N113" s="6">
        <v>29</v>
      </c>
      <c r="O113" s="7">
        <f t="shared" si="7"/>
        <v>96.666666666666671</v>
      </c>
    </row>
    <row r="114" spans="1:15" ht="30" x14ac:dyDescent="0.25">
      <c r="A114" s="2">
        <v>150</v>
      </c>
      <c r="B114" s="2">
        <v>250</v>
      </c>
      <c r="C114" s="3">
        <v>0.5</v>
      </c>
      <c r="D114" s="2" t="s">
        <v>153</v>
      </c>
      <c r="E114" s="2">
        <v>30</v>
      </c>
      <c r="F114" s="2">
        <v>29</v>
      </c>
      <c r="G114" s="3">
        <f t="shared" si="6"/>
        <v>96.666666666666671</v>
      </c>
      <c r="H114" s="3">
        <v>-56.9</v>
      </c>
      <c r="I114" s="3">
        <v>-59</v>
      </c>
      <c r="J114" s="3">
        <v>-53.5</v>
      </c>
      <c r="K114" s="2">
        <v>0</v>
      </c>
      <c r="L114" s="2" t="s">
        <v>45</v>
      </c>
      <c r="M114" s="2" t="s">
        <v>168</v>
      </c>
      <c r="N114" s="6">
        <v>1</v>
      </c>
      <c r="O114" s="7">
        <f t="shared" si="7"/>
        <v>3.3333333333333335</v>
      </c>
    </row>
    <row r="115" spans="1:15" ht="30" customHeight="1" x14ac:dyDescent="0.25">
      <c r="A115" s="2">
        <v>150</v>
      </c>
      <c r="B115" s="2">
        <v>250</v>
      </c>
      <c r="C115" s="3">
        <v>1</v>
      </c>
      <c r="D115" s="2" t="s">
        <v>153</v>
      </c>
      <c r="E115" s="2">
        <v>30</v>
      </c>
      <c r="F115" s="2">
        <v>29</v>
      </c>
      <c r="G115" s="3">
        <f t="shared" si="6"/>
        <v>96.666666666666671</v>
      </c>
      <c r="H115" s="3">
        <v>-62.4</v>
      </c>
      <c r="I115" s="3">
        <v>-66.5</v>
      </c>
      <c r="J115" s="3">
        <v>-59</v>
      </c>
      <c r="K115" s="2">
        <v>0</v>
      </c>
      <c r="L115" s="2" t="s">
        <v>45</v>
      </c>
      <c r="M115" s="2" t="s">
        <v>168</v>
      </c>
      <c r="N115" s="6">
        <v>1</v>
      </c>
      <c r="O115" s="7">
        <f t="shared" si="7"/>
        <v>3.3333333333333335</v>
      </c>
    </row>
    <row r="116" spans="1:15" ht="30" customHeight="1" x14ac:dyDescent="0.25">
      <c r="A116" s="2">
        <v>150</v>
      </c>
      <c r="B116" s="2">
        <v>250</v>
      </c>
      <c r="C116" s="3">
        <v>1.5</v>
      </c>
      <c r="D116" s="2" t="s">
        <v>153</v>
      </c>
      <c r="E116" s="2">
        <v>30</v>
      </c>
      <c r="F116" s="2">
        <v>28</v>
      </c>
      <c r="G116" s="3">
        <f t="shared" si="6"/>
        <v>93.333333333333329</v>
      </c>
      <c r="H116" s="3">
        <v>-69.599999999999994</v>
      </c>
      <c r="I116" s="3">
        <v>-72.5</v>
      </c>
      <c r="J116" s="3">
        <v>-65.5</v>
      </c>
      <c r="K116" s="2">
        <v>0</v>
      </c>
      <c r="L116" s="2" t="s">
        <v>45</v>
      </c>
      <c r="M116" s="2" t="s">
        <v>168</v>
      </c>
      <c r="N116" s="6">
        <v>2</v>
      </c>
      <c r="O116" s="7">
        <f t="shared" si="7"/>
        <v>6.666666666666667</v>
      </c>
    </row>
    <row r="117" spans="1:15" ht="30" customHeight="1" x14ac:dyDescent="0.25">
      <c r="A117" s="2">
        <v>150</v>
      </c>
      <c r="B117" s="2">
        <v>250</v>
      </c>
      <c r="C117" s="3">
        <v>2</v>
      </c>
      <c r="D117" s="2" t="s">
        <v>153</v>
      </c>
      <c r="E117" s="2">
        <v>30</v>
      </c>
      <c r="F117" s="2">
        <v>28</v>
      </c>
      <c r="G117" s="3">
        <f t="shared" si="6"/>
        <v>93.333333333333329</v>
      </c>
      <c r="H117" s="3">
        <v>-70.400000000000006</v>
      </c>
      <c r="I117" s="3">
        <v>-74.5</v>
      </c>
      <c r="J117" s="3">
        <v>-67.5</v>
      </c>
      <c r="K117" s="2">
        <v>0</v>
      </c>
      <c r="L117" s="2" t="s">
        <v>45</v>
      </c>
      <c r="M117" s="2" t="s">
        <v>168</v>
      </c>
      <c r="N117" s="6">
        <v>2</v>
      </c>
      <c r="O117" s="7">
        <f t="shared" si="7"/>
        <v>6.666666666666667</v>
      </c>
    </row>
    <row r="118" spans="1:15" ht="30" customHeight="1" x14ac:dyDescent="0.25">
      <c r="A118" s="2">
        <v>150</v>
      </c>
      <c r="B118" s="2">
        <v>250</v>
      </c>
      <c r="C118" s="3">
        <v>2.5</v>
      </c>
      <c r="D118" s="2" t="s">
        <v>153</v>
      </c>
      <c r="E118" s="2">
        <v>30</v>
      </c>
      <c r="F118" s="2">
        <v>21</v>
      </c>
      <c r="G118" s="3">
        <f t="shared" si="6"/>
        <v>70</v>
      </c>
      <c r="H118" s="3">
        <v>-73.099999999999994</v>
      </c>
      <c r="I118" s="3">
        <v>-75</v>
      </c>
      <c r="J118" s="3">
        <v>-70</v>
      </c>
      <c r="K118" s="2">
        <v>0</v>
      </c>
      <c r="L118" s="2" t="s">
        <v>45</v>
      </c>
      <c r="M118" s="2" t="s">
        <v>169</v>
      </c>
      <c r="N118" s="6">
        <v>9</v>
      </c>
      <c r="O118" s="7">
        <f t="shared" si="7"/>
        <v>30</v>
      </c>
    </row>
    <row r="119" spans="1:15" ht="30" customHeight="1" x14ac:dyDescent="0.25">
      <c r="A119" s="2">
        <v>150</v>
      </c>
      <c r="B119" s="2">
        <v>250</v>
      </c>
      <c r="C119" s="3">
        <v>3</v>
      </c>
      <c r="D119" s="2" t="s">
        <v>153</v>
      </c>
      <c r="E119" s="2">
        <v>30</v>
      </c>
      <c r="F119" s="2">
        <v>11</v>
      </c>
      <c r="G119" s="3">
        <f t="shared" si="6"/>
        <v>36.666666666666664</v>
      </c>
      <c r="H119" s="3">
        <v>-76.599999999999994</v>
      </c>
      <c r="I119" s="3">
        <v>-79</v>
      </c>
      <c r="J119" s="3">
        <v>-75.5</v>
      </c>
      <c r="K119" s="2">
        <v>0</v>
      </c>
      <c r="L119" s="2" t="s">
        <v>45</v>
      </c>
      <c r="M119" s="2" t="s">
        <v>170</v>
      </c>
      <c r="N119" s="6">
        <v>19</v>
      </c>
      <c r="O119" s="7">
        <f t="shared" si="7"/>
        <v>63.333333333333329</v>
      </c>
    </row>
    <row r="120" spans="1:15" ht="30" customHeight="1" x14ac:dyDescent="0.25">
      <c r="A120" s="2">
        <v>150</v>
      </c>
      <c r="B120" s="2">
        <v>250</v>
      </c>
      <c r="C120" s="3">
        <v>3.5</v>
      </c>
      <c r="D120" s="2" t="s">
        <v>153</v>
      </c>
      <c r="E120" s="2">
        <v>30</v>
      </c>
      <c r="F120" s="2">
        <v>9</v>
      </c>
      <c r="G120" s="3">
        <f t="shared" si="6"/>
        <v>30</v>
      </c>
      <c r="H120" s="3">
        <v>-78.900000000000006</v>
      </c>
      <c r="I120" s="3">
        <v>-80.5</v>
      </c>
      <c r="J120" s="3">
        <v>-77.5</v>
      </c>
      <c r="K120" s="2">
        <v>0</v>
      </c>
      <c r="L120" s="2" t="s">
        <v>45</v>
      </c>
      <c r="M120" s="2" t="s">
        <v>170</v>
      </c>
      <c r="N120" s="6">
        <v>21</v>
      </c>
      <c r="O120" s="7">
        <f t="shared" si="7"/>
        <v>70</v>
      </c>
    </row>
    <row r="121" spans="1:15" ht="30" x14ac:dyDescent="0.25">
      <c r="A121" s="2">
        <v>150</v>
      </c>
      <c r="B121" s="2">
        <v>250</v>
      </c>
      <c r="C121" s="3">
        <v>4</v>
      </c>
      <c r="D121" s="2" t="s">
        <v>153</v>
      </c>
      <c r="E121" s="2">
        <v>30</v>
      </c>
      <c r="F121" s="2">
        <v>1</v>
      </c>
      <c r="G121" s="3">
        <f t="shared" si="6"/>
        <v>3.3333333333333335</v>
      </c>
      <c r="H121" s="3">
        <v>-80.5</v>
      </c>
      <c r="I121" s="3">
        <v>-80.5</v>
      </c>
      <c r="J121" s="3">
        <v>-80.5</v>
      </c>
      <c r="K121" s="2">
        <v>0</v>
      </c>
      <c r="L121" s="2" t="s">
        <v>45</v>
      </c>
      <c r="M121" s="2" t="s">
        <v>170</v>
      </c>
      <c r="N121" s="6">
        <v>29</v>
      </c>
      <c r="O121" s="7">
        <f t="shared" si="7"/>
        <v>96.666666666666671</v>
      </c>
    </row>
  </sheetData>
  <conditionalFormatting sqref="G2:G12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O2:O12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showGridLines="0" topLeftCell="A4" workbookViewId="0">
      <selection activeCell="K2" sqref="K2"/>
    </sheetView>
  </sheetViews>
  <sheetFormatPr defaultColWidth="9" defaultRowHeight="15" x14ac:dyDescent="0.25"/>
  <cols>
    <col min="1" max="1" width="17" customWidth="1"/>
    <col min="2" max="2" width="15" customWidth="1"/>
    <col min="3" max="3" width="12" customWidth="1"/>
    <col min="4" max="4" width="13" customWidth="1"/>
    <col min="5" max="5" width="17" customWidth="1"/>
    <col min="6" max="6" width="11" customWidth="1"/>
    <col min="7" max="8" width="15" customWidth="1"/>
    <col min="9" max="9" width="12" customWidth="1"/>
    <col min="10" max="10" width="58" customWidth="1"/>
    <col min="11" max="11" width="14" customWidth="1"/>
    <col min="12" max="12" width="19" customWidth="1"/>
  </cols>
  <sheetData>
    <row r="1" spans="1:12" ht="30" x14ac:dyDescent="0.25">
      <c r="A1" s="8" t="s">
        <v>157</v>
      </c>
      <c r="B1" s="8" t="s">
        <v>84</v>
      </c>
      <c r="C1" s="8" t="s">
        <v>158</v>
      </c>
      <c r="D1" s="8" t="s">
        <v>85</v>
      </c>
      <c r="E1" s="8" t="s">
        <v>89</v>
      </c>
      <c r="F1" s="8" t="s">
        <v>159</v>
      </c>
      <c r="G1" s="8" t="s">
        <v>160</v>
      </c>
      <c r="H1" s="8" t="s">
        <v>161</v>
      </c>
      <c r="I1" s="8" t="s">
        <v>162</v>
      </c>
      <c r="J1" s="8" t="s">
        <v>91</v>
      </c>
      <c r="K1" s="10" t="s">
        <v>166</v>
      </c>
      <c r="L1" s="10" t="s">
        <v>167</v>
      </c>
    </row>
    <row r="2" spans="1:12" x14ac:dyDescent="0.25">
      <c r="A2" s="2">
        <v>150</v>
      </c>
      <c r="B2" s="2">
        <v>110</v>
      </c>
      <c r="C2" s="3">
        <v>2</v>
      </c>
      <c r="D2" s="2" t="s">
        <v>111</v>
      </c>
      <c r="E2" s="2">
        <v>0</v>
      </c>
      <c r="F2" s="2">
        <v>30</v>
      </c>
      <c r="G2" s="2">
        <v>27</v>
      </c>
      <c r="H2" s="3">
        <f t="shared" ref="H2:H46" si="0">IF(F2&gt;0,G2/F2*100,"")</f>
        <v>90</v>
      </c>
      <c r="I2" s="3">
        <v>-66.400000000000006</v>
      </c>
      <c r="J2" s="2" t="s">
        <v>172</v>
      </c>
      <c r="K2" s="6">
        <v>3</v>
      </c>
      <c r="L2" s="7">
        <f t="shared" ref="L2:L46" si="1">IF(F2&gt;0,K2/F2*100,"")</f>
        <v>10</v>
      </c>
    </row>
    <row r="3" spans="1:12" ht="30" customHeight="1" x14ac:dyDescent="0.25">
      <c r="A3" s="2">
        <v>150</v>
      </c>
      <c r="B3" s="2">
        <v>110</v>
      </c>
      <c r="C3" s="3">
        <v>2</v>
      </c>
      <c r="D3" s="2" t="s">
        <v>111</v>
      </c>
      <c r="E3" s="2">
        <v>45</v>
      </c>
      <c r="F3" s="2">
        <v>30</v>
      </c>
      <c r="G3" s="2">
        <v>21</v>
      </c>
      <c r="H3" s="3">
        <f t="shared" si="0"/>
        <v>70</v>
      </c>
      <c r="I3" s="3">
        <v>-70.7</v>
      </c>
      <c r="J3" s="2" t="s">
        <v>173</v>
      </c>
      <c r="K3" s="6">
        <v>9</v>
      </c>
      <c r="L3" s="7">
        <f t="shared" si="1"/>
        <v>30</v>
      </c>
    </row>
    <row r="4" spans="1:12" ht="30" customHeight="1" x14ac:dyDescent="0.25">
      <c r="A4" s="2">
        <v>150</v>
      </c>
      <c r="B4" s="2">
        <v>110</v>
      </c>
      <c r="C4" s="3">
        <v>2</v>
      </c>
      <c r="D4" s="2" t="s">
        <v>111</v>
      </c>
      <c r="E4" s="2">
        <v>90</v>
      </c>
      <c r="F4" s="2">
        <v>30</v>
      </c>
      <c r="G4" s="2">
        <v>3</v>
      </c>
      <c r="H4" s="3">
        <f t="shared" si="0"/>
        <v>10</v>
      </c>
      <c r="I4" s="3">
        <v>-78.2</v>
      </c>
      <c r="J4" s="2" t="s">
        <v>174</v>
      </c>
      <c r="K4" s="6">
        <v>27</v>
      </c>
      <c r="L4" s="7">
        <f t="shared" si="1"/>
        <v>90</v>
      </c>
    </row>
    <row r="5" spans="1:12" x14ac:dyDescent="0.25">
      <c r="A5" s="2">
        <v>150</v>
      </c>
      <c r="B5" s="2">
        <v>120</v>
      </c>
      <c r="C5" s="3">
        <v>2</v>
      </c>
      <c r="D5" s="2" t="s">
        <v>114</v>
      </c>
      <c r="E5" s="2">
        <v>0</v>
      </c>
      <c r="F5" s="2">
        <v>30</v>
      </c>
      <c r="G5" s="2">
        <v>29</v>
      </c>
      <c r="H5" s="3">
        <f t="shared" si="0"/>
        <v>96.666666666666671</v>
      </c>
      <c r="I5" s="3">
        <v>-67.2</v>
      </c>
      <c r="J5" s="2" t="s">
        <v>172</v>
      </c>
      <c r="K5" s="6">
        <v>1</v>
      </c>
      <c r="L5" s="7">
        <f t="shared" si="1"/>
        <v>3.3333333333333335</v>
      </c>
    </row>
    <row r="6" spans="1:12" ht="30" customHeight="1" x14ac:dyDescent="0.25">
      <c r="A6" s="2">
        <v>150</v>
      </c>
      <c r="B6" s="2">
        <v>120</v>
      </c>
      <c r="C6" s="3">
        <v>2</v>
      </c>
      <c r="D6" s="2" t="s">
        <v>114</v>
      </c>
      <c r="E6" s="2">
        <v>45</v>
      </c>
      <c r="F6" s="2">
        <v>30</v>
      </c>
      <c r="G6" s="2">
        <v>26</v>
      </c>
      <c r="H6" s="3">
        <f t="shared" si="0"/>
        <v>86.666666666666671</v>
      </c>
      <c r="I6" s="3">
        <v>-71.099999999999994</v>
      </c>
      <c r="J6" s="2" t="s">
        <v>173</v>
      </c>
      <c r="K6" s="6">
        <v>4</v>
      </c>
      <c r="L6" s="7">
        <f t="shared" si="1"/>
        <v>13.333333333333334</v>
      </c>
    </row>
    <row r="7" spans="1:12" ht="30" customHeight="1" x14ac:dyDescent="0.25">
      <c r="A7" s="2">
        <v>150</v>
      </c>
      <c r="B7" s="2">
        <v>120</v>
      </c>
      <c r="C7" s="3">
        <v>2</v>
      </c>
      <c r="D7" s="2" t="s">
        <v>114</v>
      </c>
      <c r="E7" s="2">
        <v>90</v>
      </c>
      <c r="F7" s="2">
        <v>30</v>
      </c>
      <c r="G7" s="2">
        <v>7</v>
      </c>
      <c r="H7" s="3">
        <f t="shared" si="0"/>
        <v>23.333333333333332</v>
      </c>
      <c r="I7" s="3">
        <v>-78.400000000000006</v>
      </c>
      <c r="J7" s="2" t="s">
        <v>174</v>
      </c>
      <c r="K7" s="6">
        <v>23</v>
      </c>
      <c r="L7" s="7">
        <f t="shared" si="1"/>
        <v>76.666666666666671</v>
      </c>
    </row>
    <row r="8" spans="1:12" x14ac:dyDescent="0.25">
      <c r="A8" s="2">
        <v>150</v>
      </c>
      <c r="B8" s="2">
        <v>130</v>
      </c>
      <c r="C8" s="3">
        <v>2</v>
      </c>
      <c r="D8" s="2" t="s">
        <v>117</v>
      </c>
      <c r="E8" s="2">
        <v>0</v>
      </c>
      <c r="F8" s="2">
        <v>30</v>
      </c>
      <c r="G8" s="2">
        <v>28</v>
      </c>
      <c r="H8" s="3">
        <f t="shared" si="0"/>
        <v>93.333333333333329</v>
      </c>
      <c r="I8" s="3">
        <v>-69.099999999999994</v>
      </c>
      <c r="J8" s="2" t="s">
        <v>172</v>
      </c>
      <c r="K8" s="6">
        <v>2</v>
      </c>
      <c r="L8" s="7">
        <f t="shared" si="1"/>
        <v>6.666666666666667</v>
      </c>
    </row>
    <row r="9" spans="1:12" ht="30" customHeight="1" x14ac:dyDescent="0.25">
      <c r="A9" s="2">
        <v>150</v>
      </c>
      <c r="B9" s="2">
        <v>130</v>
      </c>
      <c r="C9" s="3">
        <v>2</v>
      </c>
      <c r="D9" s="2" t="s">
        <v>117</v>
      </c>
      <c r="E9" s="2">
        <v>45</v>
      </c>
      <c r="F9" s="2">
        <v>30</v>
      </c>
      <c r="G9" s="2">
        <v>15</v>
      </c>
      <c r="H9" s="3">
        <f t="shared" si="0"/>
        <v>50</v>
      </c>
      <c r="I9" s="3">
        <v>-74.3</v>
      </c>
      <c r="J9" s="2" t="s">
        <v>173</v>
      </c>
      <c r="K9" s="6">
        <v>15</v>
      </c>
      <c r="L9" s="7">
        <f t="shared" si="1"/>
        <v>50</v>
      </c>
    </row>
    <row r="10" spans="1:12" ht="30" customHeight="1" x14ac:dyDescent="0.25">
      <c r="A10" s="2">
        <v>150</v>
      </c>
      <c r="B10" s="2">
        <v>130</v>
      </c>
      <c r="C10" s="3">
        <v>2</v>
      </c>
      <c r="D10" s="2" t="s">
        <v>117</v>
      </c>
      <c r="E10" s="2">
        <v>90</v>
      </c>
      <c r="F10" s="2">
        <v>30</v>
      </c>
      <c r="G10" s="2">
        <v>1</v>
      </c>
      <c r="H10" s="3">
        <f t="shared" si="0"/>
        <v>3.3333333333333335</v>
      </c>
      <c r="I10" s="3">
        <v>-80</v>
      </c>
      <c r="J10" s="2" t="s">
        <v>174</v>
      </c>
      <c r="K10" s="6">
        <v>29</v>
      </c>
      <c r="L10" s="7">
        <f t="shared" si="1"/>
        <v>96.666666666666671</v>
      </c>
    </row>
    <row r="11" spans="1:12" x14ac:dyDescent="0.25">
      <c r="A11" s="2">
        <v>150</v>
      </c>
      <c r="B11" s="2">
        <v>140</v>
      </c>
      <c r="C11" s="3">
        <v>2</v>
      </c>
      <c r="D11" s="2" t="s">
        <v>119</v>
      </c>
      <c r="E11" s="2">
        <v>0</v>
      </c>
      <c r="F11" s="2">
        <v>30</v>
      </c>
      <c r="G11" s="2">
        <v>28</v>
      </c>
      <c r="H11" s="3">
        <f t="shared" si="0"/>
        <v>93.333333333333329</v>
      </c>
      <c r="I11" s="3">
        <v>-68.400000000000006</v>
      </c>
      <c r="J11" s="2" t="s">
        <v>172</v>
      </c>
      <c r="K11" s="6">
        <v>2</v>
      </c>
      <c r="L11" s="7">
        <f t="shared" si="1"/>
        <v>6.666666666666667</v>
      </c>
    </row>
    <row r="12" spans="1:12" ht="30" customHeight="1" x14ac:dyDescent="0.25">
      <c r="A12" s="2">
        <v>150</v>
      </c>
      <c r="B12" s="2">
        <v>140</v>
      </c>
      <c r="C12" s="3">
        <v>2</v>
      </c>
      <c r="D12" s="2" t="s">
        <v>119</v>
      </c>
      <c r="E12" s="2">
        <v>45</v>
      </c>
      <c r="F12" s="2">
        <v>30</v>
      </c>
      <c r="G12" s="2">
        <v>16</v>
      </c>
      <c r="H12" s="3">
        <f t="shared" si="0"/>
        <v>53.333333333333336</v>
      </c>
      <c r="I12" s="3">
        <v>-74.400000000000006</v>
      </c>
      <c r="J12" s="2" t="s">
        <v>173</v>
      </c>
      <c r="K12" s="6">
        <v>14</v>
      </c>
      <c r="L12" s="7">
        <f t="shared" si="1"/>
        <v>46.666666666666664</v>
      </c>
    </row>
    <row r="13" spans="1:12" ht="30" customHeight="1" x14ac:dyDescent="0.25">
      <c r="A13" s="2">
        <v>150</v>
      </c>
      <c r="B13" s="2">
        <v>140</v>
      </c>
      <c r="C13" s="3">
        <v>2</v>
      </c>
      <c r="D13" s="2" t="s">
        <v>119</v>
      </c>
      <c r="E13" s="2">
        <v>90</v>
      </c>
      <c r="F13" s="2">
        <v>30</v>
      </c>
      <c r="G13" s="2">
        <v>0</v>
      </c>
      <c r="H13" s="3">
        <f t="shared" si="0"/>
        <v>0</v>
      </c>
      <c r="I13" s="3"/>
      <c r="J13" s="2" t="s">
        <v>174</v>
      </c>
      <c r="K13" s="6">
        <v>30</v>
      </c>
      <c r="L13" s="7">
        <f t="shared" si="1"/>
        <v>100</v>
      </c>
    </row>
    <row r="14" spans="1:12" x14ac:dyDescent="0.25">
      <c r="A14" s="2">
        <v>150</v>
      </c>
      <c r="B14" s="2">
        <v>150</v>
      </c>
      <c r="C14" s="3">
        <v>2</v>
      </c>
      <c r="D14" s="2" t="s">
        <v>122</v>
      </c>
      <c r="E14" s="2">
        <v>0</v>
      </c>
      <c r="F14" s="2">
        <v>30</v>
      </c>
      <c r="G14" s="2">
        <v>28</v>
      </c>
      <c r="H14" s="3">
        <f t="shared" si="0"/>
        <v>93.333333333333329</v>
      </c>
      <c r="I14" s="3">
        <v>-66.900000000000006</v>
      </c>
      <c r="J14" s="2" t="s">
        <v>172</v>
      </c>
      <c r="K14" s="6">
        <v>2</v>
      </c>
      <c r="L14" s="7">
        <f t="shared" si="1"/>
        <v>6.666666666666667</v>
      </c>
    </row>
    <row r="15" spans="1:12" ht="30" customHeight="1" x14ac:dyDescent="0.25">
      <c r="A15" s="2">
        <v>150</v>
      </c>
      <c r="B15" s="2">
        <v>150</v>
      </c>
      <c r="C15" s="3">
        <v>2</v>
      </c>
      <c r="D15" s="2" t="s">
        <v>122</v>
      </c>
      <c r="E15" s="2">
        <v>45</v>
      </c>
      <c r="F15" s="2">
        <v>30</v>
      </c>
      <c r="G15" s="2">
        <v>22</v>
      </c>
      <c r="H15" s="3">
        <f t="shared" si="0"/>
        <v>73.333333333333329</v>
      </c>
      <c r="I15" s="3">
        <v>-71.900000000000006</v>
      </c>
      <c r="J15" s="2" t="s">
        <v>173</v>
      </c>
      <c r="K15" s="6">
        <v>8</v>
      </c>
      <c r="L15" s="7">
        <f t="shared" si="1"/>
        <v>26.666666666666668</v>
      </c>
    </row>
    <row r="16" spans="1:12" ht="30" customHeight="1" x14ac:dyDescent="0.25">
      <c r="A16" s="2">
        <v>150</v>
      </c>
      <c r="B16" s="2">
        <v>150</v>
      </c>
      <c r="C16" s="3">
        <v>2</v>
      </c>
      <c r="D16" s="2" t="s">
        <v>122</v>
      </c>
      <c r="E16" s="2">
        <v>90</v>
      </c>
      <c r="F16" s="2">
        <v>30</v>
      </c>
      <c r="G16" s="2">
        <v>6</v>
      </c>
      <c r="H16" s="3">
        <f t="shared" si="0"/>
        <v>20</v>
      </c>
      <c r="I16" s="3">
        <v>-79</v>
      </c>
      <c r="J16" s="2" t="s">
        <v>174</v>
      </c>
      <c r="K16" s="6">
        <v>24</v>
      </c>
      <c r="L16" s="7">
        <f t="shared" si="1"/>
        <v>80</v>
      </c>
    </row>
    <row r="17" spans="1:12" x14ac:dyDescent="0.25">
      <c r="A17" s="2">
        <v>150</v>
      </c>
      <c r="B17" s="2">
        <v>160</v>
      </c>
      <c r="C17" s="3">
        <v>2</v>
      </c>
      <c r="D17" s="2" t="s">
        <v>125</v>
      </c>
      <c r="E17" s="2">
        <v>0</v>
      </c>
      <c r="F17" s="2">
        <v>30</v>
      </c>
      <c r="G17" s="2">
        <v>30</v>
      </c>
      <c r="H17" s="3">
        <f t="shared" si="0"/>
        <v>100</v>
      </c>
      <c r="I17" s="3">
        <v>-67.5</v>
      </c>
      <c r="J17" s="2" t="s">
        <v>172</v>
      </c>
      <c r="K17" s="6">
        <v>0</v>
      </c>
      <c r="L17" s="7">
        <f t="shared" si="1"/>
        <v>0</v>
      </c>
    </row>
    <row r="18" spans="1:12" ht="30" customHeight="1" x14ac:dyDescent="0.25">
      <c r="A18" s="2">
        <v>150</v>
      </c>
      <c r="B18" s="2">
        <v>160</v>
      </c>
      <c r="C18" s="3">
        <v>2</v>
      </c>
      <c r="D18" s="2" t="s">
        <v>125</v>
      </c>
      <c r="E18" s="2">
        <v>45</v>
      </c>
      <c r="F18" s="2">
        <v>30</v>
      </c>
      <c r="G18" s="2">
        <v>23</v>
      </c>
      <c r="H18" s="3">
        <f t="shared" si="0"/>
        <v>76.666666666666671</v>
      </c>
      <c r="I18" s="3">
        <v>-71.400000000000006</v>
      </c>
      <c r="J18" s="2" t="s">
        <v>173</v>
      </c>
      <c r="K18" s="6">
        <v>7</v>
      </c>
      <c r="L18" s="7">
        <f t="shared" si="1"/>
        <v>23.333333333333332</v>
      </c>
    </row>
    <row r="19" spans="1:12" ht="30" customHeight="1" x14ac:dyDescent="0.25">
      <c r="A19" s="2">
        <v>150</v>
      </c>
      <c r="B19" s="2">
        <v>160</v>
      </c>
      <c r="C19" s="3">
        <v>2</v>
      </c>
      <c r="D19" s="2" t="s">
        <v>125</v>
      </c>
      <c r="E19" s="2">
        <v>90</v>
      </c>
      <c r="F19" s="2">
        <v>30</v>
      </c>
      <c r="G19" s="2">
        <v>2</v>
      </c>
      <c r="H19" s="3">
        <f t="shared" si="0"/>
        <v>6.666666666666667</v>
      </c>
      <c r="I19" s="3">
        <v>-80.2</v>
      </c>
      <c r="J19" s="2" t="s">
        <v>174</v>
      </c>
      <c r="K19" s="6">
        <v>28</v>
      </c>
      <c r="L19" s="7">
        <f t="shared" si="1"/>
        <v>93.333333333333329</v>
      </c>
    </row>
    <row r="20" spans="1:12" x14ac:dyDescent="0.25">
      <c r="A20" s="2">
        <v>150</v>
      </c>
      <c r="B20" s="2">
        <v>170</v>
      </c>
      <c r="C20" s="3">
        <v>2</v>
      </c>
      <c r="D20" s="2" t="s">
        <v>127</v>
      </c>
      <c r="E20" s="2">
        <v>0</v>
      </c>
      <c r="F20" s="2">
        <v>30</v>
      </c>
      <c r="G20" s="2">
        <v>21</v>
      </c>
      <c r="H20" s="3">
        <f t="shared" si="0"/>
        <v>70</v>
      </c>
      <c r="I20" s="3">
        <v>-73.8</v>
      </c>
      <c r="J20" s="2" t="s">
        <v>172</v>
      </c>
      <c r="K20" s="6">
        <v>9</v>
      </c>
      <c r="L20" s="7">
        <f t="shared" si="1"/>
        <v>30</v>
      </c>
    </row>
    <row r="21" spans="1:12" ht="30" customHeight="1" x14ac:dyDescent="0.25">
      <c r="A21" s="2">
        <v>150</v>
      </c>
      <c r="B21" s="2">
        <v>170</v>
      </c>
      <c r="C21" s="3">
        <v>2</v>
      </c>
      <c r="D21" s="2" t="s">
        <v>127</v>
      </c>
      <c r="E21" s="2">
        <v>45</v>
      </c>
      <c r="F21" s="2">
        <v>30</v>
      </c>
      <c r="G21" s="2">
        <v>1</v>
      </c>
      <c r="H21" s="3">
        <f t="shared" si="0"/>
        <v>3.3333333333333335</v>
      </c>
      <c r="I21" s="3">
        <v>-77.5</v>
      </c>
      <c r="J21" s="2" t="s">
        <v>173</v>
      </c>
      <c r="K21" s="6">
        <v>29</v>
      </c>
      <c r="L21" s="7">
        <f t="shared" si="1"/>
        <v>96.666666666666671</v>
      </c>
    </row>
    <row r="22" spans="1:12" ht="30" customHeight="1" x14ac:dyDescent="0.25">
      <c r="A22" s="2">
        <v>150</v>
      </c>
      <c r="B22" s="2">
        <v>170</v>
      </c>
      <c r="C22" s="3">
        <v>2</v>
      </c>
      <c r="D22" s="2" t="s">
        <v>127</v>
      </c>
      <c r="E22" s="2">
        <v>90</v>
      </c>
      <c r="F22" s="2">
        <v>30</v>
      </c>
      <c r="G22" s="2">
        <v>0</v>
      </c>
      <c r="H22" s="3">
        <f t="shared" si="0"/>
        <v>0</v>
      </c>
      <c r="I22" s="3"/>
      <c r="J22" s="2" t="s">
        <v>174</v>
      </c>
      <c r="K22" s="6">
        <v>30</v>
      </c>
      <c r="L22" s="7">
        <f t="shared" si="1"/>
        <v>100</v>
      </c>
    </row>
    <row r="23" spans="1:12" x14ac:dyDescent="0.25">
      <c r="A23" s="2">
        <v>150</v>
      </c>
      <c r="B23" s="2">
        <v>180</v>
      </c>
      <c r="C23" s="3">
        <v>2</v>
      </c>
      <c r="D23" s="2" t="s">
        <v>131</v>
      </c>
      <c r="E23" s="2">
        <v>0</v>
      </c>
      <c r="F23" s="2">
        <v>30</v>
      </c>
      <c r="G23" s="2">
        <v>30</v>
      </c>
      <c r="H23" s="3">
        <f t="shared" si="0"/>
        <v>100</v>
      </c>
      <c r="I23" s="3">
        <v>-65.7</v>
      </c>
      <c r="J23" s="2" t="s">
        <v>172</v>
      </c>
      <c r="K23" s="6">
        <v>0</v>
      </c>
      <c r="L23" s="7">
        <f t="shared" si="1"/>
        <v>0</v>
      </c>
    </row>
    <row r="24" spans="1:12" ht="30" customHeight="1" x14ac:dyDescent="0.25">
      <c r="A24" s="2">
        <v>150</v>
      </c>
      <c r="B24" s="2">
        <v>180</v>
      </c>
      <c r="C24" s="3">
        <v>2</v>
      </c>
      <c r="D24" s="2" t="s">
        <v>131</v>
      </c>
      <c r="E24" s="2">
        <v>45</v>
      </c>
      <c r="F24" s="2">
        <v>30</v>
      </c>
      <c r="G24" s="2">
        <v>25</v>
      </c>
      <c r="H24" s="3">
        <f t="shared" si="0"/>
        <v>83.333333333333343</v>
      </c>
      <c r="I24" s="3">
        <v>-71.599999999999994</v>
      </c>
      <c r="J24" s="2" t="s">
        <v>173</v>
      </c>
      <c r="K24" s="6">
        <v>5</v>
      </c>
      <c r="L24" s="7">
        <f t="shared" si="1"/>
        <v>16.666666666666664</v>
      </c>
    </row>
    <row r="25" spans="1:12" ht="30" customHeight="1" x14ac:dyDescent="0.25">
      <c r="A25" s="2">
        <v>150</v>
      </c>
      <c r="B25" s="2">
        <v>180</v>
      </c>
      <c r="C25" s="3">
        <v>2</v>
      </c>
      <c r="D25" s="2" t="s">
        <v>131</v>
      </c>
      <c r="E25" s="2">
        <v>90</v>
      </c>
      <c r="F25" s="2">
        <v>30</v>
      </c>
      <c r="G25" s="2">
        <v>10</v>
      </c>
      <c r="H25" s="3">
        <f t="shared" si="0"/>
        <v>33.333333333333329</v>
      </c>
      <c r="I25" s="3">
        <v>-77.5</v>
      </c>
      <c r="J25" s="2" t="s">
        <v>174</v>
      </c>
      <c r="K25" s="6">
        <v>20</v>
      </c>
      <c r="L25" s="7">
        <f t="shared" si="1"/>
        <v>66.666666666666657</v>
      </c>
    </row>
    <row r="26" spans="1:12" x14ac:dyDescent="0.25">
      <c r="A26" s="2">
        <v>150</v>
      </c>
      <c r="B26" s="2">
        <v>190</v>
      </c>
      <c r="C26" s="3">
        <v>2</v>
      </c>
      <c r="D26" s="2" t="s">
        <v>134</v>
      </c>
      <c r="E26" s="2">
        <v>0</v>
      </c>
      <c r="F26" s="2">
        <v>30</v>
      </c>
      <c r="G26" s="2">
        <v>28</v>
      </c>
      <c r="H26" s="3">
        <f t="shared" si="0"/>
        <v>93.333333333333329</v>
      </c>
      <c r="I26" s="3">
        <v>-68.400000000000006</v>
      </c>
      <c r="J26" s="2" t="s">
        <v>172</v>
      </c>
      <c r="K26" s="6">
        <v>2</v>
      </c>
      <c r="L26" s="7">
        <f t="shared" si="1"/>
        <v>6.666666666666667</v>
      </c>
    </row>
    <row r="27" spans="1:12" ht="30" customHeight="1" x14ac:dyDescent="0.25">
      <c r="A27" s="2">
        <v>150</v>
      </c>
      <c r="B27" s="2">
        <v>190</v>
      </c>
      <c r="C27" s="3">
        <v>2</v>
      </c>
      <c r="D27" s="2" t="s">
        <v>134</v>
      </c>
      <c r="E27" s="2">
        <v>45</v>
      </c>
      <c r="F27" s="2">
        <v>30</v>
      </c>
      <c r="G27" s="2">
        <v>16</v>
      </c>
      <c r="H27" s="3">
        <f t="shared" si="0"/>
        <v>53.333333333333336</v>
      </c>
      <c r="I27" s="3">
        <v>-73.599999999999994</v>
      </c>
      <c r="J27" s="2" t="s">
        <v>173</v>
      </c>
      <c r="K27" s="6">
        <v>14</v>
      </c>
      <c r="L27" s="7">
        <f t="shared" si="1"/>
        <v>46.666666666666664</v>
      </c>
    </row>
    <row r="28" spans="1:12" ht="30" customHeight="1" x14ac:dyDescent="0.25">
      <c r="A28" s="2">
        <v>150</v>
      </c>
      <c r="B28" s="2">
        <v>190</v>
      </c>
      <c r="C28" s="3">
        <v>2</v>
      </c>
      <c r="D28" s="2" t="s">
        <v>134</v>
      </c>
      <c r="E28" s="2">
        <v>90</v>
      </c>
      <c r="F28" s="2">
        <v>30</v>
      </c>
      <c r="G28" s="2">
        <v>5</v>
      </c>
      <c r="H28" s="3">
        <f t="shared" si="0"/>
        <v>16.666666666666664</v>
      </c>
      <c r="I28" s="3">
        <v>-78.400000000000006</v>
      </c>
      <c r="J28" s="2" t="s">
        <v>174</v>
      </c>
      <c r="K28" s="6">
        <v>25</v>
      </c>
      <c r="L28" s="7">
        <f t="shared" si="1"/>
        <v>83.333333333333343</v>
      </c>
    </row>
    <row r="29" spans="1:12" x14ac:dyDescent="0.25">
      <c r="A29" s="2">
        <v>150</v>
      </c>
      <c r="B29" s="2">
        <v>200</v>
      </c>
      <c r="C29" s="3">
        <v>2</v>
      </c>
      <c r="D29" s="2" t="s">
        <v>137</v>
      </c>
      <c r="E29" s="2">
        <v>0</v>
      </c>
      <c r="F29" s="2">
        <v>30</v>
      </c>
      <c r="G29" s="2">
        <v>21</v>
      </c>
      <c r="H29" s="3">
        <f t="shared" si="0"/>
        <v>70</v>
      </c>
      <c r="I29" s="3">
        <v>-73.099999999999994</v>
      </c>
      <c r="J29" s="2" t="s">
        <v>172</v>
      </c>
      <c r="K29" s="6">
        <v>9</v>
      </c>
      <c r="L29" s="7">
        <f t="shared" si="1"/>
        <v>30</v>
      </c>
    </row>
    <row r="30" spans="1:12" ht="30" customHeight="1" x14ac:dyDescent="0.25">
      <c r="A30" s="2">
        <v>150</v>
      </c>
      <c r="B30" s="2">
        <v>200</v>
      </c>
      <c r="C30" s="3">
        <v>2</v>
      </c>
      <c r="D30" s="2" t="s">
        <v>137</v>
      </c>
      <c r="E30" s="2">
        <v>45</v>
      </c>
      <c r="F30" s="2">
        <v>30</v>
      </c>
      <c r="G30" s="2">
        <v>6</v>
      </c>
      <c r="H30" s="3">
        <f t="shared" si="0"/>
        <v>20</v>
      </c>
      <c r="I30" s="3">
        <v>-79.400000000000006</v>
      </c>
      <c r="J30" s="2" t="s">
        <v>173</v>
      </c>
      <c r="K30" s="6">
        <v>24</v>
      </c>
      <c r="L30" s="7">
        <f t="shared" si="1"/>
        <v>80</v>
      </c>
    </row>
    <row r="31" spans="1:12" ht="30" customHeight="1" x14ac:dyDescent="0.25">
      <c r="A31" s="2">
        <v>150</v>
      </c>
      <c r="B31" s="2">
        <v>200</v>
      </c>
      <c r="C31" s="3">
        <v>2</v>
      </c>
      <c r="D31" s="2" t="s">
        <v>137</v>
      </c>
      <c r="E31" s="2">
        <v>90</v>
      </c>
      <c r="F31" s="2">
        <v>30</v>
      </c>
      <c r="G31" s="2">
        <v>1</v>
      </c>
      <c r="H31" s="3">
        <f t="shared" si="0"/>
        <v>3.3333333333333335</v>
      </c>
      <c r="I31" s="3">
        <v>-84</v>
      </c>
      <c r="J31" s="2" t="s">
        <v>174</v>
      </c>
      <c r="K31" s="6">
        <v>29</v>
      </c>
      <c r="L31" s="7">
        <f t="shared" si="1"/>
        <v>96.666666666666671</v>
      </c>
    </row>
    <row r="32" spans="1:12" x14ac:dyDescent="0.25">
      <c r="A32" s="2">
        <v>150</v>
      </c>
      <c r="B32" s="2">
        <v>210</v>
      </c>
      <c r="C32" s="3">
        <v>2</v>
      </c>
      <c r="D32" s="2" t="s">
        <v>140</v>
      </c>
      <c r="E32" s="2">
        <v>0</v>
      </c>
      <c r="F32" s="2">
        <v>30</v>
      </c>
      <c r="G32" s="2">
        <v>26</v>
      </c>
      <c r="H32" s="3">
        <f t="shared" si="0"/>
        <v>86.666666666666671</v>
      </c>
      <c r="I32" s="3">
        <v>-71.400000000000006</v>
      </c>
      <c r="J32" s="2" t="s">
        <v>172</v>
      </c>
      <c r="K32" s="6">
        <v>4</v>
      </c>
      <c r="L32" s="7">
        <f t="shared" si="1"/>
        <v>13.333333333333334</v>
      </c>
    </row>
    <row r="33" spans="1:12" ht="30" customHeight="1" x14ac:dyDescent="0.25">
      <c r="A33" s="2">
        <v>150</v>
      </c>
      <c r="B33" s="2">
        <v>210</v>
      </c>
      <c r="C33" s="3">
        <v>2</v>
      </c>
      <c r="D33" s="2" t="s">
        <v>140</v>
      </c>
      <c r="E33" s="2">
        <v>45</v>
      </c>
      <c r="F33" s="2">
        <v>30</v>
      </c>
      <c r="G33" s="2">
        <v>19</v>
      </c>
      <c r="H33" s="3">
        <f t="shared" si="0"/>
        <v>63.333333333333329</v>
      </c>
      <c r="I33" s="3">
        <v>-74.3</v>
      </c>
      <c r="J33" s="2" t="s">
        <v>173</v>
      </c>
      <c r="K33" s="6">
        <v>11</v>
      </c>
      <c r="L33" s="7">
        <f t="shared" si="1"/>
        <v>36.666666666666664</v>
      </c>
    </row>
    <row r="34" spans="1:12" ht="30" customHeight="1" x14ac:dyDescent="0.25">
      <c r="A34" s="2">
        <v>150</v>
      </c>
      <c r="B34" s="2">
        <v>210</v>
      </c>
      <c r="C34" s="3">
        <v>2</v>
      </c>
      <c r="D34" s="2" t="s">
        <v>140</v>
      </c>
      <c r="E34" s="2">
        <v>90</v>
      </c>
      <c r="F34" s="2">
        <v>30</v>
      </c>
      <c r="G34" s="2">
        <v>3</v>
      </c>
      <c r="H34" s="3">
        <f t="shared" si="0"/>
        <v>10</v>
      </c>
      <c r="I34" s="3">
        <v>-82</v>
      </c>
      <c r="J34" s="2" t="s">
        <v>174</v>
      </c>
      <c r="K34" s="6">
        <v>27</v>
      </c>
      <c r="L34" s="7">
        <f t="shared" si="1"/>
        <v>90</v>
      </c>
    </row>
    <row r="35" spans="1:12" x14ac:dyDescent="0.25">
      <c r="A35" s="2">
        <v>150</v>
      </c>
      <c r="B35" s="2">
        <v>220</v>
      </c>
      <c r="C35" s="3">
        <v>2</v>
      </c>
      <c r="D35" s="2" t="s">
        <v>143</v>
      </c>
      <c r="E35" s="2">
        <v>0</v>
      </c>
      <c r="F35" s="2">
        <v>30</v>
      </c>
      <c r="G35" s="2">
        <v>30</v>
      </c>
      <c r="H35" s="3">
        <f t="shared" si="0"/>
        <v>100</v>
      </c>
      <c r="I35" s="3">
        <v>-68.3</v>
      </c>
      <c r="J35" s="2" t="s">
        <v>172</v>
      </c>
      <c r="K35" s="6">
        <v>0</v>
      </c>
      <c r="L35" s="7">
        <f t="shared" si="1"/>
        <v>0</v>
      </c>
    </row>
    <row r="36" spans="1:12" ht="30" customHeight="1" x14ac:dyDescent="0.25">
      <c r="A36" s="2">
        <v>150</v>
      </c>
      <c r="B36" s="2">
        <v>220</v>
      </c>
      <c r="C36" s="3">
        <v>2</v>
      </c>
      <c r="D36" s="2" t="s">
        <v>143</v>
      </c>
      <c r="E36" s="2">
        <v>45</v>
      </c>
      <c r="F36" s="2">
        <v>30</v>
      </c>
      <c r="G36" s="2">
        <v>17</v>
      </c>
      <c r="H36" s="3">
        <f t="shared" si="0"/>
        <v>56.666666666666664</v>
      </c>
      <c r="I36" s="3">
        <v>-73.2</v>
      </c>
      <c r="J36" s="2" t="s">
        <v>173</v>
      </c>
      <c r="K36" s="6">
        <v>13</v>
      </c>
      <c r="L36" s="7">
        <f t="shared" si="1"/>
        <v>43.333333333333336</v>
      </c>
    </row>
    <row r="37" spans="1:12" ht="30" customHeight="1" x14ac:dyDescent="0.25">
      <c r="A37" s="2">
        <v>150</v>
      </c>
      <c r="B37" s="2">
        <v>220</v>
      </c>
      <c r="C37" s="3">
        <v>2</v>
      </c>
      <c r="D37" s="2" t="s">
        <v>143</v>
      </c>
      <c r="E37" s="2">
        <v>90</v>
      </c>
      <c r="F37" s="2">
        <v>30</v>
      </c>
      <c r="G37" s="2">
        <v>2</v>
      </c>
      <c r="H37" s="3">
        <f t="shared" si="0"/>
        <v>6.666666666666667</v>
      </c>
      <c r="I37" s="3">
        <v>-80</v>
      </c>
      <c r="J37" s="2" t="s">
        <v>174</v>
      </c>
      <c r="K37" s="6">
        <v>28</v>
      </c>
      <c r="L37" s="7">
        <f t="shared" si="1"/>
        <v>93.333333333333329</v>
      </c>
    </row>
    <row r="38" spans="1:12" x14ac:dyDescent="0.25">
      <c r="A38" s="2">
        <v>150</v>
      </c>
      <c r="B38" s="2">
        <v>230</v>
      </c>
      <c r="C38" s="3">
        <v>2</v>
      </c>
      <c r="D38" s="2" t="s">
        <v>146</v>
      </c>
      <c r="E38" s="2">
        <v>0</v>
      </c>
      <c r="F38" s="2">
        <v>30</v>
      </c>
      <c r="G38" s="2">
        <v>25</v>
      </c>
      <c r="H38" s="3">
        <f t="shared" si="0"/>
        <v>83.333333333333343</v>
      </c>
      <c r="I38" s="3">
        <v>-72.5</v>
      </c>
      <c r="J38" s="2" t="s">
        <v>172</v>
      </c>
      <c r="K38" s="6">
        <v>5</v>
      </c>
      <c r="L38" s="7">
        <f t="shared" si="1"/>
        <v>16.666666666666664</v>
      </c>
    </row>
    <row r="39" spans="1:12" ht="30" customHeight="1" x14ac:dyDescent="0.25">
      <c r="A39" s="2">
        <v>150</v>
      </c>
      <c r="B39" s="2">
        <v>230</v>
      </c>
      <c r="C39" s="3">
        <v>2</v>
      </c>
      <c r="D39" s="2" t="s">
        <v>146</v>
      </c>
      <c r="E39" s="2">
        <v>45</v>
      </c>
      <c r="F39" s="2">
        <v>30</v>
      </c>
      <c r="G39" s="2">
        <v>8</v>
      </c>
      <c r="H39" s="3">
        <f t="shared" si="0"/>
        <v>26.666666666666668</v>
      </c>
      <c r="I39" s="3">
        <v>-77.2</v>
      </c>
      <c r="J39" s="2" t="s">
        <v>173</v>
      </c>
      <c r="K39" s="6">
        <v>22</v>
      </c>
      <c r="L39" s="7">
        <f t="shared" si="1"/>
        <v>73.333333333333329</v>
      </c>
    </row>
    <row r="40" spans="1:12" ht="30" customHeight="1" x14ac:dyDescent="0.25">
      <c r="A40" s="2">
        <v>150</v>
      </c>
      <c r="B40" s="2">
        <v>230</v>
      </c>
      <c r="C40" s="3">
        <v>2</v>
      </c>
      <c r="D40" s="2" t="s">
        <v>146</v>
      </c>
      <c r="E40" s="2">
        <v>90</v>
      </c>
      <c r="F40" s="2">
        <v>30</v>
      </c>
      <c r="G40" s="2">
        <v>3</v>
      </c>
      <c r="H40" s="3">
        <f t="shared" si="0"/>
        <v>10</v>
      </c>
      <c r="I40" s="3">
        <v>-80.5</v>
      </c>
      <c r="J40" s="2" t="s">
        <v>174</v>
      </c>
      <c r="K40" s="6">
        <v>27</v>
      </c>
      <c r="L40" s="7">
        <f t="shared" si="1"/>
        <v>90</v>
      </c>
    </row>
    <row r="41" spans="1:12" x14ac:dyDescent="0.25">
      <c r="A41" s="2">
        <v>150</v>
      </c>
      <c r="B41" s="2">
        <v>240</v>
      </c>
      <c r="C41" s="3">
        <v>2</v>
      </c>
      <c r="D41" s="2" t="s">
        <v>150</v>
      </c>
      <c r="E41" s="2">
        <v>0</v>
      </c>
      <c r="F41" s="2">
        <v>30</v>
      </c>
      <c r="G41" s="2">
        <v>26</v>
      </c>
      <c r="H41" s="3">
        <f t="shared" si="0"/>
        <v>86.666666666666671</v>
      </c>
      <c r="I41" s="3">
        <v>-70.3</v>
      </c>
      <c r="J41" s="2" t="s">
        <v>172</v>
      </c>
      <c r="K41" s="6">
        <v>4</v>
      </c>
      <c r="L41" s="7">
        <f t="shared" si="1"/>
        <v>13.333333333333334</v>
      </c>
    </row>
    <row r="42" spans="1:12" ht="30" customHeight="1" x14ac:dyDescent="0.25">
      <c r="A42" s="2">
        <v>150</v>
      </c>
      <c r="B42" s="2">
        <v>240</v>
      </c>
      <c r="C42" s="3">
        <v>2</v>
      </c>
      <c r="D42" s="2" t="s">
        <v>150</v>
      </c>
      <c r="E42" s="2">
        <v>45</v>
      </c>
      <c r="F42" s="2">
        <v>30</v>
      </c>
      <c r="G42" s="2">
        <v>15</v>
      </c>
      <c r="H42" s="3">
        <f t="shared" si="0"/>
        <v>50</v>
      </c>
      <c r="I42" s="3">
        <v>-74.7</v>
      </c>
      <c r="J42" s="2" t="s">
        <v>173</v>
      </c>
      <c r="K42" s="6">
        <v>15</v>
      </c>
      <c r="L42" s="7">
        <f t="shared" si="1"/>
        <v>50</v>
      </c>
    </row>
    <row r="43" spans="1:12" ht="30" customHeight="1" x14ac:dyDescent="0.25">
      <c r="A43" s="2">
        <v>150</v>
      </c>
      <c r="B43" s="2">
        <v>240</v>
      </c>
      <c r="C43" s="3">
        <v>2</v>
      </c>
      <c r="D43" s="2" t="s">
        <v>150</v>
      </c>
      <c r="E43" s="2">
        <v>90</v>
      </c>
      <c r="F43" s="2">
        <v>30</v>
      </c>
      <c r="G43" s="2">
        <v>1</v>
      </c>
      <c r="H43" s="3">
        <f t="shared" si="0"/>
        <v>3.3333333333333335</v>
      </c>
      <c r="I43" s="3">
        <v>-80.5</v>
      </c>
      <c r="J43" s="2" t="s">
        <v>174</v>
      </c>
      <c r="K43" s="6">
        <v>29</v>
      </c>
      <c r="L43" s="7">
        <f t="shared" si="1"/>
        <v>96.666666666666671</v>
      </c>
    </row>
    <row r="44" spans="1:12" x14ac:dyDescent="0.25">
      <c r="A44" s="2">
        <v>150</v>
      </c>
      <c r="B44" s="2">
        <v>250</v>
      </c>
      <c r="C44" s="3">
        <v>2</v>
      </c>
      <c r="D44" s="2" t="s">
        <v>153</v>
      </c>
      <c r="E44" s="2">
        <v>0</v>
      </c>
      <c r="F44" s="2">
        <v>30</v>
      </c>
      <c r="G44" s="2">
        <v>24</v>
      </c>
      <c r="H44" s="3">
        <f t="shared" si="0"/>
        <v>80</v>
      </c>
      <c r="I44" s="3">
        <v>-71.400000000000006</v>
      </c>
      <c r="J44" s="2" t="s">
        <v>172</v>
      </c>
      <c r="K44" s="6">
        <v>6</v>
      </c>
      <c r="L44" s="7">
        <f t="shared" si="1"/>
        <v>20</v>
      </c>
    </row>
    <row r="45" spans="1:12" ht="30" customHeight="1" x14ac:dyDescent="0.25">
      <c r="A45" s="2">
        <v>150</v>
      </c>
      <c r="B45" s="2">
        <v>250</v>
      </c>
      <c r="C45" s="3">
        <v>2</v>
      </c>
      <c r="D45" s="2" t="s">
        <v>153</v>
      </c>
      <c r="E45" s="2">
        <v>45</v>
      </c>
      <c r="F45" s="2">
        <v>30</v>
      </c>
      <c r="G45" s="2">
        <v>12</v>
      </c>
      <c r="H45" s="3">
        <f t="shared" si="0"/>
        <v>40</v>
      </c>
      <c r="I45" s="3">
        <v>-75.5</v>
      </c>
      <c r="J45" s="2" t="s">
        <v>173</v>
      </c>
      <c r="K45" s="6">
        <v>18</v>
      </c>
      <c r="L45" s="7">
        <f t="shared" si="1"/>
        <v>60</v>
      </c>
    </row>
    <row r="46" spans="1:12" ht="30" customHeight="1" x14ac:dyDescent="0.25">
      <c r="A46" s="2">
        <v>150</v>
      </c>
      <c r="B46" s="2">
        <v>250</v>
      </c>
      <c r="C46" s="3">
        <v>2</v>
      </c>
      <c r="D46" s="2" t="s">
        <v>153</v>
      </c>
      <c r="E46" s="2">
        <v>90</v>
      </c>
      <c r="F46" s="2">
        <v>30</v>
      </c>
      <c r="G46" s="2">
        <v>1</v>
      </c>
      <c r="H46" s="3">
        <f t="shared" si="0"/>
        <v>3.3333333333333335</v>
      </c>
      <c r="I46" s="3">
        <v>-81</v>
      </c>
      <c r="J46" s="2" t="s">
        <v>174</v>
      </c>
      <c r="K46" s="6">
        <v>29</v>
      </c>
      <c r="L46" s="7">
        <f t="shared" si="1"/>
        <v>96.666666666666671</v>
      </c>
    </row>
  </sheetData>
  <conditionalFormatting sqref="H2:H4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L2:L46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showGridLines="0" workbookViewId="0">
      <selection activeCell="K8" sqref="K8"/>
    </sheetView>
  </sheetViews>
  <sheetFormatPr defaultColWidth="9" defaultRowHeight="15" x14ac:dyDescent="0.25"/>
  <cols>
    <col min="1" max="1" width="17" customWidth="1"/>
    <col min="2" max="2" width="15" customWidth="1"/>
    <col min="3" max="3" width="12" customWidth="1"/>
    <col min="4" max="4" width="13" customWidth="1"/>
    <col min="5" max="5" width="25" customWidth="1"/>
    <col min="6" max="6" width="14" customWidth="1"/>
    <col min="7" max="7" width="11" customWidth="1"/>
    <col min="8" max="9" width="15" customWidth="1"/>
    <col min="10" max="10" width="12" customWidth="1"/>
    <col min="11" max="11" width="66" customWidth="1"/>
    <col min="12" max="12" width="14" customWidth="1"/>
    <col min="13" max="13" width="19" customWidth="1"/>
  </cols>
  <sheetData>
    <row r="1" spans="1:13" ht="30" customHeight="1" x14ac:dyDescent="0.25">
      <c r="A1" s="8" t="s">
        <v>157</v>
      </c>
      <c r="B1" s="8" t="s">
        <v>84</v>
      </c>
      <c r="C1" s="8" t="s">
        <v>158</v>
      </c>
      <c r="D1" s="8" t="s">
        <v>85</v>
      </c>
      <c r="E1" s="8" t="s">
        <v>165</v>
      </c>
      <c r="F1" s="8" t="s">
        <v>175</v>
      </c>
      <c r="G1" s="8" t="s">
        <v>159</v>
      </c>
      <c r="H1" s="8" t="s">
        <v>160</v>
      </c>
      <c r="I1" s="8" t="s">
        <v>161</v>
      </c>
      <c r="J1" s="8" t="s">
        <v>162</v>
      </c>
      <c r="K1" s="8" t="s">
        <v>91</v>
      </c>
      <c r="L1" s="10" t="s">
        <v>166</v>
      </c>
      <c r="M1" s="10" t="s">
        <v>167</v>
      </c>
    </row>
    <row r="2" spans="1:13" x14ac:dyDescent="0.25">
      <c r="A2" s="2">
        <v>150</v>
      </c>
      <c r="B2" s="2">
        <v>150</v>
      </c>
      <c r="C2" s="3">
        <v>2</v>
      </c>
      <c r="D2" s="2" t="s">
        <v>122</v>
      </c>
      <c r="E2" s="2" t="s">
        <v>45</v>
      </c>
      <c r="F2" s="2"/>
      <c r="G2" s="2">
        <v>30</v>
      </c>
      <c r="H2" s="2">
        <v>30</v>
      </c>
      <c r="I2" s="3">
        <f t="shared" ref="I2:I7" si="0">IF(G2&gt;0,H2/G2*100,"")</f>
        <v>100</v>
      </c>
      <c r="J2" s="3">
        <v>-64.2</v>
      </c>
      <c r="K2" s="2" t="s">
        <v>176</v>
      </c>
      <c r="L2" s="6">
        <v>0</v>
      </c>
      <c r="M2" s="7">
        <f t="shared" ref="M2:M7" si="1">IF(G2&gt;0,L2/G2*100,"")</f>
        <v>0</v>
      </c>
    </row>
    <row r="3" spans="1:13" x14ac:dyDescent="0.25">
      <c r="A3" s="2">
        <v>150</v>
      </c>
      <c r="B3" s="2">
        <v>150</v>
      </c>
      <c r="C3" s="3">
        <v>2</v>
      </c>
      <c r="D3" s="2" t="s">
        <v>122</v>
      </c>
      <c r="E3" s="2" t="s">
        <v>48</v>
      </c>
      <c r="F3" s="2"/>
      <c r="G3" s="2">
        <v>30</v>
      </c>
      <c r="H3" s="2">
        <v>28</v>
      </c>
      <c r="I3" s="3">
        <f t="shared" si="0"/>
        <v>93.333333333333329</v>
      </c>
      <c r="J3" s="3">
        <v>-66.8</v>
      </c>
      <c r="K3" s="2" t="s">
        <v>176</v>
      </c>
      <c r="L3" s="6">
        <v>2</v>
      </c>
      <c r="M3" s="7">
        <f t="shared" si="1"/>
        <v>6.666666666666667</v>
      </c>
    </row>
    <row r="4" spans="1:13" x14ac:dyDescent="0.25">
      <c r="A4" s="2">
        <v>150</v>
      </c>
      <c r="B4" s="2">
        <v>150</v>
      </c>
      <c r="C4" s="3">
        <v>2</v>
      </c>
      <c r="D4" s="2" t="s">
        <v>122</v>
      </c>
      <c r="E4" s="2" t="s">
        <v>49</v>
      </c>
      <c r="F4" s="2"/>
      <c r="G4" s="2">
        <v>30</v>
      </c>
      <c r="H4" s="2">
        <v>27</v>
      </c>
      <c r="I4" s="3">
        <f t="shared" si="0"/>
        <v>90</v>
      </c>
      <c r="J4" s="3">
        <v>-65.599999999999994</v>
      </c>
      <c r="K4" s="2" t="s">
        <v>176</v>
      </c>
      <c r="L4" s="6">
        <v>3</v>
      </c>
      <c r="M4" s="7">
        <f t="shared" si="1"/>
        <v>10</v>
      </c>
    </row>
    <row r="5" spans="1:13" ht="30" x14ac:dyDescent="0.25">
      <c r="A5" s="2">
        <v>150</v>
      </c>
      <c r="B5" s="2">
        <v>150</v>
      </c>
      <c r="C5" s="3">
        <v>2</v>
      </c>
      <c r="D5" s="2" t="s">
        <v>122</v>
      </c>
      <c r="E5" s="2" t="s">
        <v>50</v>
      </c>
      <c r="F5" s="2"/>
      <c r="G5" s="2">
        <v>30</v>
      </c>
      <c r="H5" s="2">
        <v>24</v>
      </c>
      <c r="I5" s="3">
        <f t="shared" si="0"/>
        <v>80</v>
      </c>
      <c r="J5" s="3">
        <v>-69.3</v>
      </c>
      <c r="K5" s="2" t="s">
        <v>177</v>
      </c>
      <c r="L5" s="6">
        <v>6</v>
      </c>
      <c r="M5" s="7">
        <f t="shared" si="1"/>
        <v>20</v>
      </c>
    </row>
    <row r="6" spans="1:13" ht="30" customHeight="1" x14ac:dyDescent="0.25">
      <c r="A6" s="2">
        <v>150</v>
      </c>
      <c r="B6" s="2">
        <v>150</v>
      </c>
      <c r="C6" s="3">
        <v>2</v>
      </c>
      <c r="D6" s="2" t="s">
        <v>122</v>
      </c>
      <c r="E6" s="2" t="s">
        <v>51</v>
      </c>
      <c r="F6" s="2">
        <v>0</v>
      </c>
      <c r="G6" s="2">
        <v>30</v>
      </c>
      <c r="H6" s="2">
        <v>1</v>
      </c>
      <c r="I6" s="3">
        <f t="shared" si="0"/>
        <v>3.3333333333333335</v>
      </c>
      <c r="J6" s="3">
        <v>-84.5</v>
      </c>
      <c r="K6" s="2" t="s">
        <v>178</v>
      </c>
      <c r="L6" s="6">
        <v>29</v>
      </c>
      <c r="M6" s="7">
        <f t="shared" si="1"/>
        <v>96.666666666666671</v>
      </c>
    </row>
    <row r="7" spans="1:13" ht="30" customHeight="1" x14ac:dyDescent="0.25">
      <c r="A7" s="2">
        <v>150</v>
      </c>
      <c r="B7" s="2">
        <v>150</v>
      </c>
      <c r="C7" s="3">
        <v>2</v>
      </c>
      <c r="D7" s="2" t="s">
        <v>122</v>
      </c>
      <c r="E7" s="2" t="s">
        <v>52</v>
      </c>
      <c r="F7" s="2">
        <v>10</v>
      </c>
      <c r="G7" s="2">
        <v>30</v>
      </c>
      <c r="H7" s="2">
        <v>9</v>
      </c>
      <c r="I7" s="3">
        <f t="shared" si="0"/>
        <v>30</v>
      </c>
      <c r="J7" s="3">
        <v>-76.099999999999994</v>
      </c>
      <c r="K7" s="2" t="s">
        <v>179</v>
      </c>
      <c r="L7" s="6">
        <v>21</v>
      </c>
      <c r="M7" s="7">
        <f t="shared" si="1"/>
        <v>70</v>
      </c>
    </row>
  </sheetData>
  <conditionalFormatting sqref="I2:I7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M2:M7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"/>
  <sheetViews>
    <sheetView showGridLines="0" workbookViewId="0"/>
  </sheetViews>
  <sheetFormatPr defaultColWidth="9" defaultRowHeight="15" x14ac:dyDescent="0.25"/>
  <cols>
    <col min="1" max="1" width="9" customWidth="1"/>
    <col min="2" max="2" width="17" customWidth="1"/>
    <col min="3" max="3" width="16" customWidth="1"/>
    <col min="4" max="4" width="18" customWidth="1"/>
    <col min="5" max="5" width="19" customWidth="1"/>
    <col min="6" max="6" width="14" customWidth="1"/>
    <col min="7" max="7" width="24" customWidth="1"/>
    <col min="8" max="8" width="19" customWidth="1"/>
    <col min="9" max="9" width="16" customWidth="1"/>
    <col min="10" max="10" width="31" customWidth="1"/>
    <col min="11" max="11" width="62" customWidth="1"/>
    <col min="12" max="12" width="19" customWidth="1"/>
    <col min="13" max="13" width="18" customWidth="1"/>
  </cols>
  <sheetData>
    <row r="1" spans="1:13" ht="30" customHeight="1" x14ac:dyDescent="0.25">
      <c r="A1" s="8" t="s">
        <v>180</v>
      </c>
      <c r="B1" s="8" t="s">
        <v>157</v>
      </c>
      <c r="C1" s="8" t="s">
        <v>181</v>
      </c>
      <c r="D1" s="8" t="s">
        <v>182</v>
      </c>
      <c r="E1" s="8" t="s">
        <v>183</v>
      </c>
      <c r="F1" s="8" t="s">
        <v>184</v>
      </c>
      <c r="G1" s="8" t="s">
        <v>185</v>
      </c>
      <c r="H1" s="8" t="s">
        <v>186</v>
      </c>
      <c r="I1" s="8" t="s">
        <v>187</v>
      </c>
      <c r="J1" s="8" t="s">
        <v>188</v>
      </c>
      <c r="K1" s="8" t="s">
        <v>91</v>
      </c>
      <c r="L1" s="10" t="s">
        <v>189</v>
      </c>
      <c r="M1" s="10" t="s">
        <v>190</v>
      </c>
    </row>
    <row r="2" spans="1:13" x14ac:dyDescent="0.25">
      <c r="A2" s="2">
        <v>1</v>
      </c>
      <c r="B2" s="2">
        <v>150</v>
      </c>
      <c r="C2" s="2">
        <v>10</v>
      </c>
      <c r="D2" s="2">
        <v>10</v>
      </c>
      <c r="E2" s="2">
        <v>9</v>
      </c>
      <c r="F2" s="3">
        <f t="shared" ref="F2:F11" si="0">IF(D2&gt;0,E2/D2*100,"")</f>
        <v>90</v>
      </c>
      <c r="G2" s="2"/>
      <c r="H2" s="2">
        <v>33</v>
      </c>
      <c r="I2" s="2">
        <v>0</v>
      </c>
      <c r="J2" s="2" t="s">
        <v>191</v>
      </c>
      <c r="K2" s="2" t="s">
        <v>192</v>
      </c>
      <c r="L2" s="6">
        <v>1</v>
      </c>
      <c r="M2" s="7">
        <f t="shared" ref="M2:M11" si="1">IF(D2&gt;0,L2/D2*100,"")</f>
        <v>10</v>
      </c>
    </row>
    <row r="3" spans="1:13" x14ac:dyDescent="0.25">
      <c r="A3" s="2">
        <v>2</v>
      </c>
      <c r="B3" s="2">
        <v>150</v>
      </c>
      <c r="C3" s="2">
        <v>10</v>
      </c>
      <c r="D3" s="2">
        <v>10</v>
      </c>
      <c r="E3" s="2">
        <v>9</v>
      </c>
      <c r="F3" s="3">
        <f t="shared" si="0"/>
        <v>90</v>
      </c>
      <c r="G3" s="2"/>
      <c r="H3" s="2">
        <v>22</v>
      </c>
      <c r="I3" s="2">
        <v>0</v>
      </c>
      <c r="J3" s="2" t="s">
        <v>191</v>
      </c>
      <c r="K3" s="2" t="s">
        <v>193</v>
      </c>
      <c r="L3" s="6">
        <v>1</v>
      </c>
      <c r="M3" s="7">
        <f t="shared" si="1"/>
        <v>10</v>
      </c>
    </row>
    <row r="4" spans="1:13" x14ac:dyDescent="0.25">
      <c r="A4" s="2">
        <v>3</v>
      </c>
      <c r="B4" s="2">
        <v>150</v>
      </c>
      <c r="C4" s="2">
        <v>10</v>
      </c>
      <c r="D4" s="2">
        <v>10</v>
      </c>
      <c r="E4" s="2">
        <v>10</v>
      </c>
      <c r="F4" s="3">
        <f t="shared" si="0"/>
        <v>100</v>
      </c>
      <c r="G4" s="2">
        <v>3.2</v>
      </c>
      <c r="H4" s="2">
        <v>45</v>
      </c>
      <c r="I4" s="2">
        <v>0</v>
      </c>
      <c r="J4" s="2" t="s">
        <v>194</v>
      </c>
      <c r="K4" s="2" t="s">
        <v>195</v>
      </c>
      <c r="L4" s="6">
        <v>0</v>
      </c>
      <c r="M4" s="7">
        <f t="shared" si="1"/>
        <v>0</v>
      </c>
    </row>
    <row r="5" spans="1:13" x14ac:dyDescent="0.25">
      <c r="A5" s="2">
        <v>4</v>
      </c>
      <c r="B5" s="2">
        <v>150</v>
      </c>
      <c r="C5" s="2">
        <v>10</v>
      </c>
      <c r="D5" s="2">
        <v>10</v>
      </c>
      <c r="E5" s="2">
        <v>9</v>
      </c>
      <c r="F5" s="3">
        <f t="shared" si="0"/>
        <v>90</v>
      </c>
      <c r="G5" s="3"/>
      <c r="H5" s="2">
        <v>36</v>
      </c>
      <c r="I5" s="2">
        <v>0</v>
      </c>
      <c r="J5" s="2" t="s">
        <v>194</v>
      </c>
      <c r="K5" s="2" t="s">
        <v>193</v>
      </c>
      <c r="L5" s="6">
        <v>1</v>
      </c>
      <c r="M5" s="7">
        <f t="shared" si="1"/>
        <v>10</v>
      </c>
    </row>
    <row r="6" spans="1:13" x14ac:dyDescent="0.25">
      <c r="A6" s="2">
        <v>5</v>
      </c>
      <c r="B6" s="2">
        <v>150</v>
      </c>
      <c r="C6" s="2">
        <v>10</v>
      </c>
      <c r="D6" s="2">
        <v>10</v>
      </c>
      <c r="E6" s="2">
        <v>9</v>
      </c>
      <c r="F6" s="3">
        <f t="shared" si="0"/>
        <v>90</v>
      </c>
      <c r="G6" s="2"/>
      <c r="H6" s="2">
        <v>36</v>
      </c>
      <c r="I6" s="2">
        <v>1</v>
      </c>
      <c r="J6" s="2" t="s">
        <v>196</v>
      </c>
      <c r="K6" s="2" t="s">
        <v>197</v>
      </c>
      <c r="L6" s="6">
        <v>1</v>
      </c>
      <c r="M6" s="7">
        <f t="shared" si="1"/>
        <v>10</v>
      </c>
    </row>
    <row r="7" spans="1:13" x14ac:dyDescent="0.25">
      <c r="A7" s="2">
        <v>6</v>
      </c>
      <c r="B7" s="2">
        <v>150</v>
      </c>
      <c r="C7" s="2">
        <v>10</v>
      </c>
      <c r="D7" s="2">
        <v>10</v>
      </c>
      <c r="E7" s="2">
        <v>10</v>
      </c>
      <c r="F7" s="3">
        <f t="shared" si="0"/>
        <v>100</v>
      </c>
      <c r="G7" s="3">
        <v>6.6</v>
      </c>
      <c r="H7" s="2">
        <v>27</v>
      </c>
      <c r="I7" s="2">
        <v>0</v>
      </c>
      <c r="J7" s="2" t="s">
        <v>196</v>
      </c>
      <c r="K7" s="2" t="s">
        <v>195</v>
      </c>
      <c r="L7" s="6">
        <v>0</v>
      </c>
      <c r="M7" s="7">
        <f t="shared" si="1"/>
        <v>0</v>
      </c>
    </row>
    <row r="8" spans="1:13" x14ac:dyDescent="0.25">
      <c r="A8" s="2">
        <v>7</v>
      </c>
      <c r="B8" s="2">
        <v>150</v>
      </c>
      <c r="C8" s="2">
        <v>10</v>
      </c>
      <c r="D8" s="2">
        <v>10</v>
      </c>
      <c r="E8" s="2">
        <v>8</v>
      </c>
      <c r="F8" s="3">
        <f t="shared" si="0"/>
        <v>80</v>
      </c>
      <c r="G8" s="2"/>
      <c r="H8" s="2">
        <v>5</v>
      </c>
      <c r="I8" s="2">
        <v>0</v>
      </c>
      <c r="J8" s="2" t="s">
        <v>198</v>
      </c>
      <c r="K8" s="2" t="s">
        <v>199</v>
      </c>
      <c r="L8" s="6">
        <v>2</v>
      </c>
      <c r="M8" s="7">
        <f t="shared" si="1"/>
        <v>20</v>
      </c>
    </row>
    <row r="9" spans="1:13" x14ac:dyDescent="0.25">
      <c r="A9" s="2">
        <v>8</v>
      </c>
      <c r="B9" s="2">
        <v>150</v>
      </c>
      <c r="C9" s="2">
        <v>10</v>
      </c>
      <c r="D9" s="2">
        <v>10</v>
      </c>
      <c r="E9" s="2">
        <v>8</v>
      </c>
      <c r="F9" s="3">
        <f t="shared" si="0"/>
        <v>80</v>
      </c>
      <c r="G9" s="2"/>
      <c r="H9" s="2">
        <v>15</v>
      </c>
      <c r="I9" s="2">
        <v>0</v>
      </c>
      <c r="J9" s="2" t="s">
        <v>198</v>
      </c>
      <c r="K9" s="2" t="s">
        <v>200</v>
      </c>
      <c r="L9" s="6">
        <v>2</v>
      </c>
      <c r="M9" s="7">
        <f t="shared" si="1"/>
        <v>20</v>
      </c>
    </row>
    <row r="10" spans="1:13" x14ac:dyDescent="0.25">
      <c r="A10" s="2">
        <v>9</v>
      </c>
      <c r="B10" s="2">
        <v>150</v>
      </c>
      <c r="C10" s="2">
        <v>10</v>
      </c>
      <c r="D10" s="2">
        <v>10</v>
      </c>
      <c r="E10" s="2">
        <v>10</v>
      </c>
      <c r="F10" s="3">
        <f t="shared" si="0"/>
        <v>100</v>
      </c>
      <c r="G10" s="3">
        <v>5</v>
      </c>
      <c r="H10" s="2">
        <v>47</v>
      </c>
      <c r="I10" s="2">
        <v>1</v>
      </c>
      <c r="J10" s="2" t="s">
        <v>201</v>
      </c>
      <c r="K10" s="2" t="s">
        <v>195</v>
      </c>
      <c r="L10" s="6">
        <v>0</v>
      </c>
      <c r="M10" s="7">
        <f t="shared" si="1"/>
        <v>0</v>
      </c>
    </row>
    <row r="11" spans="1:13" x14ac:dyDescent="0.25">
      <c r="A11" s="2">
        <v>10</v>
      </c>
      <c r="B11" s="2">
        <v>150</v>
      </c>
      <c r="C11" s="2">
        <v>10</v>
      </c>
      <c r="D11" s="2">
        <v>10</v>
      </c>
      <c r="E11" s="2">
        <v>9</v>
      </c>
      <c r="F11" s="3">
        <f t="shared" si="0"/>
        <v>90</v>
      </c>
      <c r="G11" s="2"/>
      <c r="H11" s="2">
        <v>32</v>
      </c>
      <c r="I11" s="2">
        <v>0</v>
      </c>
      <c r="J11" s="2" t="s">
        <v>201</v>
      </c>
      <c r="K11" s="2" t="s">
        <v>192</v>
      </c>
      <c r="L11" s="6">
        <v>1</v>
      </c>
      <c r="M11" s="7">
        <f t="shared" si="1"/>
        <v>10</v>
      </c>
    </row>
  </sheetData>
  <conditionalFormatting sqref="F2:F1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M2:M1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1"/>
  <sheetViews>
    <sheetView showGridLines="0" topLeftCell="A55" workbookViewId="0"/>
  </sheetViews>
  <sheetFormatPr defaultColWidth="9" defaultRowHeight="15" x14ac:dyDescent="0.25"/>
  <cols>
    <col min="1" max="1" width="17" customWidth="1"/>
    <col min="2" max="2" width="15" customWidth="1"/>
    <col min="3" max="4" width="12" customWidth="1"/>
    <col min="5" max="5" width="11" customWidth="1"/>
    <col min="6" max="6" width="20" customWidth="1"/>
    <col min="7" max="7" width="16" customWidth="1"/>
    <col min="8" max="8" width="17" customWidth="1"/>
    <col min="9" max="9" width="62" customWidth="1"/>
    <col min="10" max="10" width="24" customWidth="1"/>
    <col min="11" max="11" width="21" customWidth="1"/>
  </cols>
  <sheetData>
    <row r="1" spans="1:11" ht="30" customHeight="1" x14ac:dyDescent="0.25">
      <c r="A1" s="8" t="s">
        <v>157</v>
      </c>
      <c r="B1" s="8" t="s">
        <v>84</v>
      </c>
      <c r="C1" s="8" t="s">
        <v>158</v>
      </c>
      <c r="D1" s="8" t="s">
        <v>202</v>
      </c>
      <c r="E1" s="8" t="s">
        <v>203</v>
      </c>
      <c r="F1" s="8" t="s">
        <v>204</v>
      </c>
      <c r="G1" s="8" t="s">
        <v>205</v>
      </c>
      <c r="H1" s="8" t="s">
        <v>89</v>
      </c>
      <c r="I1" s="8" t="s">
        <v>91</v>
      </c>
      <c r="J1" s="10" t="s">
        <v>206</v>
      </c>
      <c r="K1" s="10" t="s">
        <v>207</v>
      </c>
    </row>
    <row r="2" spans="1:11" x14ac:dyDescent="0.25">
      <c r="A2" s="2">
        <v>150</v>
      </c>
      <c r="B2" s="2">
        <v>110</v>
      </c>
      <c r="C2" s="3">
        <v>0.5</v>
      </c>
      <c r="D2" s="2" t="s">
        <v>208</v>
      </c>
      <c r="E2" s="2">
        <v>20</v>
      </c>
      <c r="F2" s="2">
        <v>16</v>
      </c>
      <c r="G2" s="3">
        <f t="shared" ref="G2:G33" si="0">IF(E2&gt;0,F2/E2*100,"")</f>
        <v>80</v>
      </c>
      <c r="H2" s="2">
        <v>0</v>
      </c>
      <c r="I2" s="2" t="s">
        <v>209</v>
      </c>
      <c r="J2" s="6">
        <v>4</v>
      </c>
      <c r="K2" s="7">
        <f t="shared" ref="K2:K33" si="1">IF(E2&gt;0,J2/E2*100,"")</f>
        <v>20</v>
      </c>
    </row>
    <row r="3" spans="1:11" x14ac:dyDescent="0.25">
      <c r="A3" s="2">
        <v>150</v>
      </c>
      <c r="B3" s="2">
        <v>110</v>
      </c>
      <c r="C3" s="3">
        <v>1</v>
      </c>
      <c r="D3" s="2" t="s">
        <v>208</v>
      </c>
      <c r="E3" s="2">
        <v>20</v>
      </c>
      <c r="F3" s="2">
        <v>20</v>
      </c>
      <c r="G3" s="3">
        <f t="shared" si="0"/>
        <v>100</v>
      </c>
      <c r="H3" s="2">
        <v>0</v>
      </c>
      <c r="I3" s="2" t="s">
        <v>210</v>
      </c>
      <c r="J3" s="6">
        <v>0</v>
      </c>
      <c r="K3" s="7">
        <f t="shared" si="1"/>
        <v>0</v>
      </c>
    </row>
    <row r="4" spans="1:11" ht="30" customHeight="1" x14ac:dyDescent="0.25">
      <c r="A4" s="2">
        <v>150</v>
      </c>
      <c r="B4" s="2">
        <v>110</v>
      </c>
      <c r="C4" s="3">
        <v>1.5</v>
      </c>
      <c r="D4" s="2" t="s">
        <v>208</v>
      </c>
      <c r="E4" s="2">
        <v>20</v>
      </c>
      <c r="F4" s="2">
        <v>16</v>
      </c>
      <c r="G4" s="3">
        <f t="shared" si="0"/>
        <v>80</v>
      </c>
      <c r="H4" s="2">
        <v>0</v>
      </c>
      <c r="I4" s="2" t="s">
        <v>209</v>
      </c>
      <c r="J4" s="6">
        <v>4</v>
      </c>
      <c r="K4" s="7">
        <f t="shared" si="1"/>
        <v>20</v>
      </c>
    </row>
    <row r="5" spans="1:11" ht="30" customHeight="1" x14ac:dyDescent="0.25">
      <c r="A5" s="2">
        <v>150</v>
      </c>
      <c r="B5" s="2">
        <v>110</v>
      </c>
      <c r="C5" s="3">
        <v>2</v>
      </c>
      <c r="D5" s="2" t="s">
        <v>208</v>
      </c>
      <c r="E5" s="2">
        <v>20</v>
      </c>
      <c r="F5" s="2">
        <v>9</v>
      </c>
      <c r="G5" s="3">
        <f t="shared" si="0"/>
        <v>45</v>
      </c>
      <c r="H5" s="2">
        <v>0</v>
      </c>
      <c r="I5" s="2" t="s">
        <v>211</v>
      </c>
      <c r="J5" s="6">
        <v>11</v>
      </c>
      <c r="K5" s="7">
        <f t="shared" si="1"/>
        <v>55.000000000000007</v>
      </c>
    </row>
    <row r="6" spans="1:11" x14ac:dyDescent="0.25">
      <c r="A6" s="2">
        <v>150</v>
      </c>
      <c r="B6" s="2">
        <v>120</v>
      </c>
      <c r="C6" s="3">
        <v>0.5</v>
      </c>
      <c r="D6" s="2" t="s">
        <v>208</v>
      </c>
      <c r="E6" s="2">
        <v>20</v>
      </c>
      <c r="F6" s="2">
        <v>20</v>
      </c>
      <c r="G6" s="3">
        <f t="shared" si="0"/>
        <v>100</v>
      </c>
      <c r="H6" s="2">
        <v>0</v>
      </c>
      <c r="I6" s="2" t="s">
        <v>210</v>
      </c>
      <c r="J6" s="6">
        <v>0</v>
      </c>
      <c r="K6" s="7">
        <f t="shared" si="1"/>
        <v>0</v>
      </c>
    </row>
    <row r="7" spans="1:11" x14ac:dyDescent="0.25">
      <c r="A7" s="2">
        <v>150</v>
      </c>
      <c r="B7" s="2">
        <v>120</v>
      </c>
      <c r="C7" s="3">
        <v>1</v>
      </c>
      <c r="D7" s="2" t="s">
        <v>208</v>
      </c>
      <c r="E7" s="2">
        <v>20</v>
      </c>
      <c r="F7" s="2">
        <v>15</v>
      </c>
      <c r="G7" s="3">
        <f t="shared" si="0"/>
        <v>75</v>
      </c>
      <c r="H7" s="2">
        <v>0</v>
      </c>
      <c r="I7" s="2" t="s">
        <v>209</v>
      </c>
      <c r="J7" s="6">
        <v>5</v>
      </c>
      <c r="K7" s="7">
        <f t="shared" si="1"/>
        <v>25</v>
      </c>
    </row>
    <row r="8" spans="1:11" ht="30" customHeight="1" x14ac:dyDescent="0.25">
      <c r="A8" s="2">
        <v>150</v>
      </c>
      <c r="B8" s="2">
        <v>120</v>
      </c>
      <c r="C8" s="3">
        <v>1.5</v>
      </c>
      <c r="D8" s="2" t="s">
        <v>208</v>
      </c>
      <c r="E8" s="2">
        <v>20</v>
      </c>
      <c r="F8" s="2">
        <v>17</v>
      </c>
      <c r="G8" s="3">
        <f t="shared" si="0"/>
        <v>85</v>
      </c>
      <c r="H8" s="2">
        <v>0</v>
      </c>
      <c r="I8" s="2" t="s">
        <v>209</v>
      </c>
      <c r="J8" s="6">
        <v>3</v>
      </c>
      <c r="K8" s="7">
        <f t="shared" si="1"/>
        <v>15</v>
      </c>
    </row>
    <row r="9" spans="1:11" ht="30" customHeight="1" x14ac:dyDescent="0.25">
      <c r="A9" s="2">
        <v>150</v>
      </c>
      <c r="B9" s="2">
        <v>120</v>
      </c>
      <c r="C9" s="3">
        <v>2</v>
      </c>
      <c r="D9" s="2" t="s">
        <v>208</v>
      </c>
      <c r="E9" s="2">
        <v>20</v>
      </c>
      <c r="F9" s="2">
        <v>7</v>
      </c>
      <c r="G9" s="3">
        <f t="shared" si="0"/>
        <v>35</v>
      </c>
      <c r="H9" s="2">
        <v>0</v>
      </c>
      <c r="I9" s="2" t="s">
        <v>211</v>
      </c>
      <c r="J9" s="6">
        <v>13</v>
      </c>
      <c r="K9" s="7">
        <f t="shared" si="1"/>
        <v>65</v>
      </c>
    </row>
    <row r="10" spans="1:11" x14ac:dyDescent="0.25">
      <c r="A10" s="2">
        <v>150</v>
      </c>
      <c r="B10" s="2">
        <v>130</v>
      </c>
      <c r="C10" s="3">
        <v>0.5</v>
      </c>
      <c r="D10" s="2" t="s">
        <v>208</v>
      </c>
      <c r="E10" s="2">
        <v>20</v>
      </c>
      <c r="F10" s="2">
        <v>20</v>
      </c>
      <c r="G10" s="3">
        <f t="shared" si="0"/>
        <v>100</v>
      </c>
      <c r="H10" s="2">
        <v>0</v>
      </c>
      <c r="I10" s="2" t="s">
        <v>210</v>
      </c>
      <c r="J10" s="6">
        <v>0</v>
      </c>
      <c r="K10" s="7">
        <f t="shared" si="1"/>
        <v>0</v>
      </c>
    </row>
    <row r="11" spans="1:11" ht="30" customHeight="1" x14ac:dyDescent="0.25">
      <c r="A11" s="2">
        <v>150</v>
      </c>
      <c r="B11" s="2">
        <v>130</v>
      </c>
      <c r="C11" s="3">
        <v>1</v>
      </c>
      <c r="D11" s="2" t="s">
        <v>208</v>
      </c>
      <c r="E11" s="2">
        <v>20</v>
      </c>
      <c r="F11" s="2">
        <v>17</v>
      </c>
      <c r="G11" s="3">
        <f t="shared" si="0"/>
        <v>85</v>
      </c>
      <c r="H11" s="2">
        <v>0</v>
      </c>
      <c r="I11" s="2" t="s">
        <v>209</v>
      </c>
      <c r="J11" s="6">
        <v>3</v>
      </c>
      <c r="K11" s="7">
        <f t="shared" si="1"/>
        <v>15</v>
      </c>
    </row>
    <row r="12" spans="1:11" ht="30" customHeight="1" x14ac:dyDescent="0.25">
      <c r="A12" s="2">
        <v>150</v>
      </c>
      <c r="B12" s="2">
        <v>130</v>
      </c>
      <c r="C12" s="3">
        <v>1.5</v>
      </c>
      <c r="D12" s="2" t="s">
        <v>208</v>
      </c>
      <c r="E12" s="2">
        <v>20</v>
      </c>
      <c r="F12" s="2">
        <v>16</v>
      </c>
      <c r="G12" s="3">
        <f t="shared" si="0"/>
        <v>80</v>
      </c>
      <c r="H12" s="2">
        <v>0</v>
      </c>
      <c r="I12" s="2" t="s">
        <v>209</v>
      </c>
      <c r="J12" s="6">
        <v>4</v>
      </c>
      <c r="K12" s="7">
        <f t="shared" si="1"/>
        <v>20</v>
      </c>
    </row>
    <row r="13" spans="1:11" ht="30" customHeight="1" x14ac:dyDescent="0.25">
      <c r="A13" s="2">
        <v>150</v>
      </c>
      <c r="B13" s="2">
        <v>130</v>
      </c>
      <c r="C13" s="3">
        <v>2</v>
      </c>
      <c r="D13" s="2" t="s">
        <v>208</v>
      </c>
      <c r="E13" s="2">
        <v>20</v>
      </c>
      <c r="F13" s="2">
        <v>8</v>
      </c>
      <c r="G13" s="3">
        <f t="shared" si="0"/>
        <v>40</v>
      </c>
      <c r="H13" s="2">
        <v>0</v>
      </c>
      <c r="I13" s="2" t="s">
        <v>211</v>
      </c>
      <c r="J13" s="6">
        <v>12</v>
      </c>
      <c r="K13" s="7">
        <f t="shared" si="1"/>
        <v>60</v>
      </c>
    </row>
    <row r="14" spans="1:11" x14ac:dyDescent="0.25">
      <c r="A14" s="2">
        <v>150</v>
      </c>
      <c r="B14" s="2">
        <v>140</v>
      </c>
      <c r="C14" s="3">
        <v>0.5</v>
      </c>
      <c r="D14" s="2" t="s">
        <v>208</v>
      </c>
      <c r="E14" s="2">
        <v>20</v>
      </c>
      <c r="F14" s="2">
        <v>20</v>
      </c>
      <c r="G14" s="3">
        <f t="shared" si="0"/>
        <v>100</v>
      </c>
      <c r="H14" s="2">
        <v>0</v>
      </c>
      <c r="I14" s="2" t="s">
        <v>210</v>
      </c>
      <c r="J14" s="6">
        <v>0</v>
      </c>
      <c r="K14" s="7">
        <f t="shared" si="1"/>
        <v>0</v>
      </c>
    </row>
    <row r="15" spans="1:11" x14ac:dyDescent="0.25">
      <c r="A15" s="2">
        <v>150</v>
      </c>
      <c r="B15" s="2">
        <v>140</v>
      </c>
      <c r="C15" s="3">
        <v>1</v>
      </c>
      <c r="D15" s="2" t="s">
        <v>208</v>
      </c>
      <c r="E15" s="2">
        <v>20</v>
      </c>
      <c r="F15" s="2">
        <v>19</v>
      </c>
      <c r="G15" s="3">
        <f t="shared" si="0"/>
        <v>95</v>
      </c>
      <c r="H15" s="2">
        <v>0</v>
      </c>
      <c r="I15" s="2" t="s">
        <v>210</v>
      </c>
      <c r="J15" s="6">
        <v>1</v>
      </c>
      <c r="K15" s="7">
        <f t="shared" si="1"/>
        <v>5</v>
      </c>
    </row>
    <row r="16" spans="1:11" ht="30" customHeight="1" x14ac:dyDescent="0.25">
      <c r="A16" s="2">
        <v>150</v>
      </c>
      <c r="B16" s="2">
        <v>140</v>
      </c>
      <c r="C16" s="3">
        <v>1.5</v>
      </c>
      <c r="D16" s="2" t="s">
        <v>208</v>
      </c>
      <c r="E16" s="2">
        <v>20</v>
      </c>
      <c r="F16" s="2">
        <v>19</v>
      </c>
      <c r="G16" s="3">
        <f t="shared" si="0"/>
        <v>95</v>
      </c>
      <c r="H16" s="2">
        <v>0</v>
      </c>
      <c r="I16" s="2" t="s">
        <v>210</v>
      </c>
      <c r="J16" s="6">
        <v>1</v>
      </c>
      <c r="K16" s="7">
        <f t="shared" si="1"/>
        <v>5</v>
      </c>
    </row>
    <row r="17" spans="1:11" ht="30" customHeight="1" x14ac:dyDescent="0.25">
      <c r="A17" s="2">
        <v>150</v>
      </c>
      <c r="B17" s="2">
        <v>140</v>
      </c>
      <c r="C17" s="3">
        <v>2</v>
      </c>
      <c r="D17" s="2" t="s">
        <v>208</v>
      </c>
      <c r="E17" s="2">
        <v>20</v>
      </c>
      <c r="F17" s="2">
        <v>5</v>
      </c>
      <c r="G17" s="3">
        <f t="shared" si="0"/>
        <v>25</v>
      </c>
      <c r="H17" s="2">
        <v>0</v>
      </c>
      <c r="I17" s="2" t="s">
        <v>211</v>
      </c>
      <c r="J17" s="6">
        <v>15</v>
      </c>
      <c r="K17" s="7">
        <f t="shared" si="1"/>
        <v>75</v>
      </c>
    </row>
    <row r="18" spans="1:11" x14ac:dyDescent="0.25">
      <c r="A18" s="2">
        <v>150</v>
      </c>
      <c r="B18" s="2">
        <v>150</v>
      </c>
      <c r="C18" s="3">
        <v>0.5</v>
      </c>
      <c r="D18" s="2" t="s">
        <v>208</v>
      </c>
      <c r="E18" s="2">
        <v>20</v>
      </c>
      <c r="F18" s="2">
        <v>20</v>
      </c>
      <c r="G18" s="3">
        <f t="shared" si="0"/>
        <v>100</v>
      </c>
      <c r="H18" s="2">
        <v>0</v>
      </c>
      <c r="I18" s="2" t="s">
        <v>210</v>
      </c>
      <c r="J18" s="6">
        <v>0</v>
      </c>
      <c r="K18" s="7">
        <f t="shared" si="1"/>
        <v>0</v>
      </c>
    </row>
    <row r="19" spans="1:11" x14ac:dyDescent="0.25">
      <c r="A19" s="2">
        <v>150</v>
      </c>
      <c r="B19" s="2">
        <v>150</v>
      </c>
      <c r="C19" s="3">
        <v>1</v>
      </c>
      <c r="D19" s="2" t="s">
        <v>208</v>
      </c>
      <c r="E19" s="2">
        <v>20</v>
      </c>
      <c r="F19" s="2">
        <v>20</v>
      </c>
      <c r="G19" s="3">
        <f t="shared" si="0"/>
        <v>100</v>
      </c>
      <c r="H19" s="2">
        <v>0</v>
      </c>
      <c r="I19" s="2" t="s">
        <v>210</v>
      </c>
      <c r="J19" s="6">
        <v>0</v>
      </c>
      <c r="K19" s="7">
        <f t="shared" si="1"/>
        <v>0</v>
      </c>
    </row>
    <row r="20" spans="1:11" ht="30" customHeight="1" x14ac:dyDescent="0.25">
      <c r="A20" s="2">
        <v>150</v>
      </c>
      <c r="B20" s="2">
        <v>150</v>
      </c>
      <c r="C20" s="3">
        <v>1.5</v>
      </c>
      <c r="D20" s="2" t="s">
        <v>208</v>
      </c>
      <c r="E20" s="2">
        <v>20</v>
      </c>
      <c r="F20" s="2">
        <v>14</v>
      </c>
      <c r="G20" s="3">
        <f t="shared" si="0"/>
        <v>70</v>
      </c>
      <c r="H20" s="2">
        <v>0</v>
      </c>
      <c r="I20" s="2" t="s">
        <v>209</v>
      </c>
      <c r="J20" s="6">
        <v>6</v>
      </c>
      <c r="K20" s="7">
        <f t="shared" si="1"/>
        <v>30</v>
      </c>
    </row>
    <row r="21" spans="1:11" ht="30" customHeight="1" x14ac:dyDescent="0.25">
      <c r="A21" s="2">
        <v>150</v>
      </c>
      <c r="B21" s="2">
        <v>150</v>
      </c>
      <c r="C21" s="3">
        <v>2</v>
      </c>
      <c r="D21" s="2" t="s">
        <v>208</v>
      </c>
      <c r="E21" s="2">
        <v>20</v>
      </c>
      <c r="F21" s="2">
        <v>14</v>
      </c>
      <c r="G21" s="3">
        <f t="shared" si="0"/>
        <v>70</v>
      </c>
      <c r="H21" s="2">
        <v>0</v>
      </c>
      <c r="I21" s="2" t="s">
        <v>209</v>
      </c>
      <c r="J21" s="6">
        <v>6</v>
      </c>
      <c r="K21" s="7">
        <f t="shared" si="1"/>
        <v>30</v>
      </c>
    </row>
    <row r="22" spans="1:11" x14ac:dyDescent="0.25">
      <c r="A22" s="2">
        <v>150</v>
      </c>
      <c r="B22" s="2">
        <v>160</v>
      </c>
      <c r="C22" s="3">
        <v>0.5</v>
      </c>
      <c r="D22" s="2" t="s">
        <v>208</v>
      </c>
      <c r="E22" s="2">
        <v>20</v>
      </c>
      <c r="F22" s="2">
        <v>19</v>
      </c>
      <c r="G22" s="3">
        <f t="shared" si="0"/>
        <v>95</v>
      </c>
      <c r="H22" s="2">
        <v>0</v>
      </c>
      <c r="I22" s="2" t="s">
        <v>210</v>
      </c>
      <c r="J22" s="6">
        <v>1</v>
      </c>
      <c r="K22" s="7">
        <f t="shared" si="1"/>
        <v>5</v>
      </c>
    </row>
    <row r="23" spans="1:11" x14ac:dyDescent="0.25">
      <c r="A23" s="2">
        <v>150</v>
      </c>
      <c r="B23" s="2">
        <v>160</v>
      </c>
      <c r="C23" s="3">
        <v>1</v>
      </c>
      <c r="D23" s="2" t="s">
        <v>208</v>
      </c>
      <c r="E23" s="2">
        <v>20</v>
      </c>
      <c r="F23" s="2">
        <v>17</v>
      </c>
      <c r="G23" s="3">
        <f t="shared" si="0"/>
        <v>85</v>
      </c>
      <c r="H23" s="2">
        <v>0</v>
      </c>
      <c r="I23" s="2" t="s">
        <v>209</v>
      </c>
      <c r="J23" s="6">
        <v>3</v>
      </c>
      <c r="K23" s="7">
        <f t="shared" si="1"/>
        <v>15</v>
      </c>
    </row>
    <row r="24" spans="1:11" ht="30" customHeight="1" x14ac:dyDescent="0.25">
      <c r="A24" s="2">
        <v>150</v>
      </c>
      <c r="B24" s="2">
        <v>160</v>
      </c>
      <c r="C24" s="3">
        <v>1.5</v>
      </c>
      <c r="D24" s="2" t="s">
        <v>208</v>
      </c>
      <c r="E24" s="2">
        <v>20</v>
      </c>
      <c r="F24" s="2">
        <v>18</v>
      </c>
      <c r="G24" s="3">
        <f t="shared" si="0"/>
        <v>90</v>
      </c>
      <c r="H24" s="2">
        <v>0</v>
      </c>
      <c r="I24" s="2" t="s">
        <v>210</v>
      </c>
      <c r="J24" s="6">
        <v>2</v>
      </c>
      <c r="K24" s="7">
        <f t="shared" si="1"/>
        <v>10</v>
      </c>
    </row>
    <row r="25" spans="1:11" ht="30" customHeight="1" x14ac:dyDescent="0.25">
      <c r="A25" s="2">
        <v>150</v>
      </c>
      <c r="B25" s="2">
        <v>160</v>
      </c>
      <c r="C25" s="3">
        <v>2</v>
      </c>
      <c r="D25" s="2" t="s">
        <v>208</v>
      </c>
      <c r="E25" s="2">
        <v>20</v>
      </c>
      <c r="F25" s="2">
        <v>11</v>
      </c>
      <c r="G25" s="3">
        <f t="shared" si="0"/>
        <v>55.000000000000007</v>
      </c>
      <c r="H25" s="2">
        <v>0</v>
      </c>
      <c r="I25" s="2" t="s">
        <v>211</v>
      </c>
      <c r="J25" s="6">
        <v>9</v>
      </c>
      <c r="K25" s="7">
        <f t="shared" si="1"/>
        <v>45</v>
      </c>
    </row>
    <row r="26" spans="1:11" x14ac:dyDescent="0.25">
      <c r="A26" s="2">
        <v>150</v>
      </c>
      <c r="B26" s="2">
        <v>170</v>
      </c>
      <c r="C26" s="3">
        <v>0.5</v>
      </c>
      <c r="D26" s="2" t="s">
        <v>208</v>
      </c>
      <c r="E26" s="2">
        <v>20</v>
      </c>
      <c r="F26" s="2">
        <v>19</v>
      </c>
      <c r="G26" s="3">
        <f t="shared" si="0"/>
        <v>95</v>
      </c>
      <c r="H26" s="2">
        <v>0</v>
      </c>
      <c r="I26" s="2" t="s">
        <v>210</v>
      </c>
      <c r="J26" s="6">
        <v>1</v>
      </c>
      <c r="K26" s="7">
        <f t="shared" si="1"/>
        <v>5</v>
      </c>
    </row>
    <row r="27" spans="1:11" x14ac:dyDescent="0.25">
      <c r="A27" s="2">
        <v>150</v>
      </c>
      <c r="B27" s="2">
        <v>170</v>
      </c>
      <c r="C27" s="3">
        <v>1</v>
      </c>
      <c r="D27" s="2" t="s">
        <v>208</v>
      </c>
      <c r="E27" s="2">
        <v>20</v>
      </c>
      <c r="F27" s="2">
        <v>17</v>
      </c>
      <c r="G27" s="3">
        <f t="shared" si="0"/>
        <v>85</v>
      </c>
      <c r="H27" s="2">
        <v>0</v>
      </c>
      <c r="I27" s="2" t="s">
        <v>209</v>
      </c>
      <c r="J27" s="6">
        <v>3</v>
      </c>
      <c r="K27" s="7">
        <f t="shared" si="1"/>
        <v>15</v>
      </c>
    </row>
    <row r="28" spans="1:11" ht="30" customHeight="1" x14ac:dyDescent="0.25">
      <c r="A28" s="2">
        <v>150</v>
      </c>
      <c r="B28" s="2">
        <v>170</v>
      </c>
      <c r="C28" s="3">
        <v>1.5</v>
      </c>
      <c r="D28" s="2" t="s">
        <v>208</v>
      </c>
      <c r="E28" s="2">
        <v>20</v>
      </c>
      <c r="F28" s="2">
        <v>13</v>
      </c>
      <c r="G28" s="3">
        <f t="shared" si="0"/>
        <v>65</v>
      </c>
      <c r="H28" s="2">
        <v>0</v>
      </c>
      <c r="I28" s="2" t="s">
        <v>209</v>
      </c>
      <c r="J28" s="6">
        <v>7</v>
      </c>
      <c r="K28" s="7">
        <f t="shared" si="1"/>
        <v>35</v>
      </c>
    </row>
    <row r="29" spans="1:11" ht="30" customHeight="1" x14ac:dyDescent="0.25">
      <c r="A29" s="2">
        <v>150</v>
      </c>
      <c r="B29" s="2">
        <v>170</v>
      </c>
      <c r="C29" s="3">
        <v>2</v>
      </c>
      <c r="D29" s="2" t="s">
        <v>208</v>
      </c>
      <c r="E29" s="2">
        <v>20</v>
      </c>
      <c r="F29" s="2">
        <v>5</v>
      </c>
      <c r="G29" s="3">
        <f t="shared" si="0"/>
        <v>25</v>
      </c>
      <c r="H29" s="2">
        <v>0</v>
      </c>
      <c r="I29" s="2" t="s">
        <v>211</v>
      </c>
      <c r="J29" s="6">
        <v>15</v>
      </c>
      <c r="K29" s="7">
        <f t="shared" si="1"/>
        <v>75</v>
      </c>
    </row>
    <row r="30" spans="1:11" x14ac:dyDescent="0.25">
      <c r="A30" s="2">
        <v>150</v>
      </c>
      <c r="B30" s="2">
        <v>180</v>
      </c>
      <c r="C30" s="3">
        <v>0.5</v>
      </c>
      <c r="D30" s="2" t="s">
        <v>208</v>
      </c>
      <c r="E30" s="2">
        <v>20</v>
      </c>
      <c r="F30" s="2">
        <v>20</v>
      </c>
      <c r="G30" s="3">
        <f t="shared" si="0"/>
        <v>100</v>
      </c>
      <c r="H30" s="2">
        <v>0</v>
      </c>
      <c r="I30" s="2" t="s">
        <v>210</v>
      </c>
      <c r="J30" s="6">
        <v>0</v>
      </c>
      <c r="K30" s="7">
        <f t="shared" si="1"/>
        <v>0</v>
      </c>
    </row>
    <row r="31" spans="1:11" x14ac:dyDescent="0.25">
      <c r="A31" s="2">
        <v>150</v>
      </c>
      <c r="B31" s="2">
        <v>180</v>
      </c>
      <c r="C31" s="3">
        <v>1</v>
      </c>
      <c r="D31" s="2" t="s">
        <v>208</v>
      </c>
      <c r="E31" s="2">
        <v>20</v>
      </c>
      <c r="F31" s="2">
        <v>18</v>
      </c>
      <c r="G31" s="3">
        <f t="shared" si="0"/>
        <v>90</v>
      </c>
      <c r="H31" s="2">
        <v>0</v>
      </c>
      <c r="I31" s="2" t="s">
        <v>210</v>
      </c>
      <c r="J31" s="6">
        <v>2</v>
      </c>
      <c r="K31" s="7">
        <f t="shared" si="1"/>
        <v>10</v>
      </c>
    </row>
    <row r="32" spans="1:11" ht="30" customHeight="1" x14ac:dyDescent="0.25">
      <c r="A32" s="2">
        <v>150</v>
      </c>
      <c r="B32" s="2">
        <v>180</v>
      </c>
      <c r="C32" s="3">
        <v>1.5</v>
      </c>
      <c r="D32" s="2" t="s">
        <v>208</v>
      </c>
      <c r="E32" s="2">
        <v>20</v>
      </c>
      <c r="F32" s="2">
        <v>14</v>
      </c>
      <c r="G32" s="3">
        <f t="shared" si="0"/>
        <v>70</v>
      </c>
      <c r="H32" s="2">
        <v>0</v>
      </c>
      <c r="I32" s="2" t="s">
        <v>209</v>
      </c>
      <c r="J32" s="6">
        <v>6</v>
      </c>
      <c r="K32" s="7">
        <f t="shared" si="1"/>
        <v>30</v>
      </c>
    </row>
    <row r="33" spans="1:11" ht="30" customHeight="1" x14ac:dyDescent="0.25">
      <c r="A33" s="2">
        <v>150</v>
      </c>
      <c r="B33" s="2">
        <v>180</v>
      </c>
      <c r="C33" s="3">
        <v>2</v>
      </c>
      <c r="D33" s="2" t="s">
        <v>208</v>
      </c>
      <c r="E33" s="2">
        <v>20</v>
      </c>
      <c r="F33" s="2">
        <v>12</v>
      </c>
      <c r="G33" s="3">
        <f t="shared" si="0"/>
        <v>60</v>
      </c>
      <c r="H33" s="2">
        <v>0</v>
      </c>
      <c r="I33" s="2" t="s">
        <v>209</v>
      </c>
      <c r="J33" s="6">
        <v>8</v>
      </c>
      <c r="K33" s="7">
        <f t="shared" si="1"/>
        <v>40</v>
      </c>
    </row>
    <row r="34" spans="1:11" x14ac:dyDescent="0.25">
      <c r="A34" s="2">
        <v>150</v>
      </c>
      <c r="B34" s="2">
        <v>190</v>
      </c>
      <c r="C34" s="3">
        <v>0.5</v>
      </c>
      <c r="D34" s="2" t="s">
        <v>208</v>
      </c>
      <c r="E34" s="2">
        <v>20</v>
      </c>
      <c r="F34" s="2">
        <v>19</v>
      </c>
      <c r="G34" s="3">
        <f t="shared" ref="G34:G61" si="2">IF(E34&gt;0,F34/E34*100,"")</f>
        <v>95</v>
      </c>
      <c r="H34" s="2">
        <v>0</v>
      </c>
      <c r="I34" s="2" t="s">
        <v>210</v>
      </c>
      <c r="J34" s="6">
        <v>1</v>
      </c>
      <c r="K34" s="7">
        <f t="shared" ref="K34:K61" si="3">IF(E34&gt;0,J34/E34*100,"")</f>
        <v>5</v>
      </c>
    </row>
    <row r="35" spans="1:11" ht="30" customHeight="1" x14ac:dyDescent="0.25">
      <c r="A35" s="2">
        <v>150</v>
      </c>
      <c r="B35" s="2">
        <v>190</v>
      </c>
      <c r="C35" s="3">
        <v>1</v>
      </c>
      <c r="D35" s="2" t="s">
        <v>208</v>
      </c>
      <c r="E35" s="2">
        <v>20</v>
      </c>
      <c r="F35" s="2">
        <v>18</v>
      </c>
      <c r="G35" s="3">
        <f t="shared" si="2"/>
        <v>90</v>
      </c>
      <c r="H35" s="2">
        <v>0</v>
      </c>
      <c r="I35" s="2" t="s">
        <v>210</v>
      </c>
      <c r="J35" s="6">
        <v>2</v>
      </c>
      <c r="K35" s="7">
        <f t="shared" si="3"/>
        <v>10</v>
      </c>
    </row>
    <row r="36" spans="1:11" ht="30" customHeight="1" x14ac:dyDescent="0.25">
      <c r="A36" s="2">
        <v>150</v>
      </c>
      <c r="B36" s="2">
        <v>190</v>
      </c>
      <c r="C36" s="3">
        <v>1.5</v>
      </c>
      <c r="D36" s="2" t="s">
        <v>208</v>
      </c>
      <c r="E36" s="2">
        <v>20</v>
      </c>
      <c r="F36" s="2">
        <v>18</v>
      </c>
      <c r="G36" s="3">
        <f t="shared" si="2"/>
        <v>90</v>
      </c>
      <c r="H36" s="2">
        <v>0</v>
      </c>
      <c r="I36" s="2" t="s">
        <v>210</v>
      </c>
      <c r="J36" s="6">
        <v>2</v>
      </c>
      <c r="K36" s="7">
        <f t="shared" si="3"/>
        <v>10</v>
      </c>
    </row>
    <row r="37" spans="1:11" ht="30" customHeight="1" x14ac:dyDescent="0.25">
      <c r="A37" s="2">
        <v>150</v>
      </c>
      <c r="B37" s="2">
        <v>190</v>
      </c>
      <c r="C37" s="3">
        <v>2</v>
      </c>
      <c r="D37" s="2" t="s">
        <v>208</v>
      </c>
      <c r="E37" s="2">
        <v>20</v>
      </c>
      <c r="F37" s="2">
        <v>9</v>
      </c>
      <c r="G37" s="3">
        <f t="shared" si="2"/>
        <v>45</v>
      </c>
      <c r="H37" s="2">
        <v>0</v>
      </c>
      <c r="I37" s="2" t="s">
        <v>211</v>
      </c>
      <c r="J37" s="6">
        <v>11</v>
      </c>
      <c r="K37" s="7">
        <f t="shared" si="3"/>
        <v>55.000000000000007</v>
      </c>
    </row>
    <row r="38" spans="1:11" x14ac:dyDescent="0.25">
      <c r="A38" s="2">
        <v>150</v>
      </c>
      <c r="B38" s="2">
        <v>200</v>
      </c>
      <c r="C38" s="3">
        <v>0.5</v>
      </c>
      <c r="D38" s="2" t="s">
        <v>208</v>
      </c>
      <c r="E38" s="2">
        <v>20</v>
      </c>
      <c r="F38" s="2">
        <v>17</v>
      </c>
      <c r="G38" s="3">
        <f t="shared" si="2"/>
        <v>85</v>
      </c>
      <c r="H38" s="2">
        <v>0</v>
      </c>
      <c r="I38" s="2" t="s">
        <v>209</v>
      </c>
      <c r="J38" s="6">
        <v>3</v>
      </c>
      <c r="K38" s="7">
        <f t="shared" si="3"/>
        <v>15</v>
      </c>
    </row>
    <row r="39" spans="1:11" x14ac:dyDescent="0.25">
      <c r="A39" s="2">
        <v>150</v>
      </c>
      <c r="B39" s="2">
        <v>200</v>
      </c>
      <c r="C39" s="3">
        <v>1</v>
      </c>
      <c r="D39" s="2" t="s">
        <v>208</v>
      </c>
      <c r="E39" s="2">
        <v>20</v>
      </c>
      <c r="F39" s="2">
        <v>17</v>
      </c>
      <c r="G39" s="3">
        <f t="shared" si="2"/>
        <v>85</v>
      </c>
      <c r="H39" s="2">
        <v>0</v>
      </c>
      <c r="I39" s="2" t="s">
        <v>209</v>
      </c>
      <c r="J39" s="6">
        <v>3</v>
      </c>
      <c r="K39" s="7">
        <f t="shared" si="3"/>
        <v>15</v>
      </c>
    </row>
    <row r="40" spans="1:11" ht="30" customHeight="1" x14ac:dyDescent="0.25">
      <c r="A40" s="2">
        <v>150</v>
      </c>
      <c r="B40" s="2">
        <v>200</v>
      </c>
      <c r="C40" s="3">
        <v>1.5</v>
      </c>
      <c r="D40" s="2" t="s">
        <v>208</v>
      </c>
      <c r="E40" s="2">
        <v>20</v>
      </c>
      <c r="F40" s="2">
        <v>9</v>
      </c>
      <c r="G40" s="3">
        <f t="shared" si="2"/>
        <v>45</v>
      </c>
      <c r="H40" s="2">
        <v>0</v>
      </c>
      <c r="I40" s="2" t="s">
        <v>211</v>
      </c>
      <c r="J40" s="6">
        <v>11</v>
      </c>
      <c r="K40" s="7">
        <f t="shared" si="3"/>
        <v>55.000000000000007</v>
      </c>
    </row>
    <row r="41" spans="1:11" ht="30" customHeight="1" x14ac:dyDescent="0.25">
      <c r="A41" s="2">
        <v>150</v>
      </c>
      <c r="B41" s="2">
        <v>200</v>
      </c>
      <c r="C41" s="3">
        <v>2</v>
      </c>
      <c r="D41" s="2" t="s">
        <v>208</v>
      </c>
      <c r="E41" s="2">
        <v>20</v>
      </c>
      <c r="F41" s="2">
        <v>8</v>
      </c>
      <c r="G41" s="3">
        <f t="shared" si="2"/>
        <v>40</v>
      </c>
      <c r="H41" s="2">
        <v>0</v>
      </c>
      <c r="I41" s="2" t="s">
        <v>211</v>
      </c>
      <c r="J41" s="6">
        <v>12</v>
      </c>
      <c r="K41" s="7">
        <f t="shared" si="3"/>
        <v>60</v>
      </c>
    </row>
    <row r="42" spans="1:11" ht="30" customHeight="1" x14ac:dyDescent="0.25">
      <c r="A42" s="2">
        <v>150</v>
      </c>
      <c r="B42" s="2">
        <v>210</v>
      </c>
      <c r="C42" s="3">
        <v>0.5</v>
      </c>
      <c r="D42" s="2" t="s">
        <v>208</v>
      </c>
      <c r="E42" s="2">
        <v>20</v>
      </c>
      <c r="F42" s="2">
        <v>18</v>
      </c>
      <c r="G42" s="3">
        <f t="shared" si="2"/>
        <v>90</v>
      </c>
      <c r="H42" s="2">
        <v>0</v>
      </c>
      <c r="I42" s="2" t="s">
        <v>210</v>
      </c>
      <c r="J42" s="6">
        <v>2</v>
      </c>
      <c r="K42" s="7">
        <f t="shared" si="3"/>
        <v>10</v>
      </c>
    </row>
    <row r="43" spans="1:11" ht="30" customHeight="1" x14ac:dyDescent="0.25">
      <c r="A43" s="2">
        <v>150</v>
      </c>
      <c r="B43" s="2">
        <v>210</v>
      </c>
      <c r="C43" s="3">
        <v>1</v>
      </c>
      <c r="D43" s="2" t="s">
        <v>208</v>
      </c>
      <c r="E43" s="2">
        <v>20</v>
      </c>
      <c r="F43" s="2">
        <v>20</v>
      </c>
      <c r="G43" s="3">
        <f t="shared" si="2"/>
        <v>100</v>
      </c>
      <c r="H43" s="2">
        <v>0</v>
      </c>
      <c r="I43" s="2" t="s">
        <v>210</v>
      </c>
      <c r="J43" s="6">
        <v>0</v>
      </c>
      <c r="K43" s="7">
        <f t="shared" si="3"/>
        <v>0</v>
      </c>
    </row>
    <row r="44" spans="1:11" ht="30" customHeight="1" x14ac:dyDescent="0.25">
      <c r="A44" s="2">
        <v>150</v>
      </c>
      <c r="B44" s="2">
        <v>210</v>
      </c>
      <c r="C44" s="3">
        <v>1.5</v>
      </c>
      <c r="D44" s="2" t="s">
        <v>208</v>
      </c>
      <c r="E44" s="2">
        <v>20</v>
      </c>
      <c r="F44" s="2">
        <v>16</v>
      </c>
      <c r="G44" s="3">
        <f t="shared" si="2"/>
        <v>80</v>
      </c>
      <c r="H44" s="2">
        <v>0</v>
      </c>
      <c r="I44" s="2" t="s">
        <v>209</v>
      </c>
      <c r="J44" s="6">
        <v>4</v>
      </c>
      <c r="K44" s="7">
        <f t="shared" si="3"/>
        <v>20</v>
      </c>
    </row>
    <row r="45" spans="1:11" ht="30" customHeight="1" x14ac:dyDescent="0.25">
      <c r="A45" s="2">
        <v>150</v>
      </c>
      <c r="B45" s="2">
        <v>210</v>
      </c>
      <c r="C45" s="3">
        <v>2</v>
      </c>
      <c r="D45" s="2" t="s">
        <v>208</v>
      </c>
      <c r="E45" s="2">
        <v>20</v>
      </c>
      <c r="F45" s="2">
        <v>10</v>
      </c>
      <c r="G45" s="3">
        <f t="shared" si="2"/>
        <v>50</v>
      </c>
      <c r="H45" s="2">
        <v>0</v>
      </c>
      <c r="I45" s="2" t="s">
        <v>211</v>
      </c>
      <c r="J45" s="6">
        <v>10</v>
      </c>
      <c r="K45" s="7">
        <f t="shared" si="3"/>
        <v>50</v>
      </c>
    </row>
    <row r="46" spans="1:11" x14ac:dyDescent="0.25">
      <c r="A46" s="2">
        <v>150</v>
      </c>
      <c r="B46" s="2">
        <v>220</v>
      </c>
      <c r="C46" s="3">
        <v>0.5</v>
      </c>
      <c r="D46" s="2" t="s">
        <v>208</v>
      </c>
      <c r="E46" s="2">
        <v>20</v>
      </c>
      <c r="F46" s="2">
        <v>19</v>
      </c>
      <c r="G46" s="3">
        <f t="shared" si="2"/>
        <v>95</v>
      </c>
      <c r="H46" s="2">
        <v>0</v>
      </c>
      <c r="I46" s="2" t="s">
        <v>210</v>
      </c>
      <c r="J46" s="6">
        <v>1</v>
      </c>
      <c r="K46" s="7">
        <f t="shared" si="3"/>
        <v>5</v>
      </c>
    </row>
    <row r="47" spans="1:11" ht="30" customHeight="1" x14ac:dyDescent="0.25">
      <c r="A47" s="2">
        <v>150</v>
      </c>
      <c r="B47" s="2">
        <v>220</v>
      </c>
      <c r="C47" s="3">
        <v>1</v>
      </c>
      <c r="D47" s="2" t="s">
        <v>208</v>
      </c>
      <c r="E47" s="2">
        <v>20</v>
      </c>
      <c r="F47" s="2">
        <v>19</v>
      </c>
      <c r="G47" s="3">
        <f t="shared" si="2"/>
        <v>95</v>
      </c>
      <c r="H47" s="2">
        <v>0</v>
      </c>
      <c r="I47" s="2" t="s">
        <v>210</v>
      </c>
      <c r="J47" s="6">
        <v>1</v>
      </c>
      <c r="K47" s="7">
        <f t="shared" si="3"/>
        <v>5</v>
      </c>
    </row>
    <row r="48" spans="1:11" ht="30" customHeight="1" x14ac:dyDescent="0.25">
      <c r="A48" s="2">
        <v>150</v>
      </c>
      <c r="B48" s="2">
        <v>220</v>
      </c>
      <c r="C48" s="3">
        <v>1.5</v>
      </c>
      <c r="D48" s="2" t="s">
        <v>208</v>
      </c>
      <c r="E48" s="2">
        <v>20</v>
      </c>
      <c r="F48" s="2">
        <v>11</v>
      </c>
      <c r="G48" s="3">
        <f t="shared" si="2"/>
        <v>55.000000000000007</v>
      </c>
      <c r="H48" s="2">
        <v>0</v>
      </c>
      <c r="I48" s="2" t="s">
        <v>211</v>
      </c>
      <c r="J48" s="6">
        <v>9</v>
      </c>
      <c r="K48" s="7">
        <f t="shared" si="3"/>
        <v>45</v>
      </c>
    </row>
    <row r="49" spans="1:11" ht="30" customHeight="1" x14ac:dyDescent="0.25">
      <c r="A49" s="2">
        <v>150</v>
      </c>
      <c r="B49" s="2">
        <v>220</v>
      </c>
      <c r="C49" s="3">
        <v>2</v>
      </c>
      <c r="D49" s="2" t="s">
        <v>208</v>
      </c>
      <c r="E49" s="2">
        <v>20</v>
      </c>
      <c r="F49" s="2">
        <v>12</v>
      </c>
      <c r="G49" s="3">
        <f t="shared" si="2"/>
        <v>60</v>
      </c>
      <c r="H49" s="2">
        <v>0</v>
      </c>
      <c r="I49" s="2" t="s">
        <v>209</v>
      </c>
      <c r="J49" s="6">
        <v>8</v>
      </c>
      <c r="K49" s="7">
        <f t="shared" si="3"/>
        <v>40</v>
      </c>
    </row>
    <row r="50" spans="1:11" ht="30" customHeight="1" x14ac:dyDescent="0.25">
      <c r="A50" s="2">
        <v>150</v>
      </c>
      <c r="B50" s="2">
        <v>230</v>
      </c>
      <c r="C50" s="3">
        <v>0.5</v>
      </c>
      <c r="D50" s="2" t="s">
        <v>208</v>
      </c>
      <c r="E50" s="2">
        <v>20</v>
      </c>
      <c r="F50" s="2">
        <v>19</v>
      </c>
      <c r="G50" s="3">
        <f t="shared" si="2"/>
        <v>95</v>
      </c>
      <c r="H50" s="2">
        <v>0</v>
      </c>
      <c r="I50" s="2" t="s">
        <v>210</v>
      </c>
      <c r="J50" s="6">
        <v>1</v>
      </c>
      <c r="K50" s="7">
        <f t="shared" si="3"/>
        <v>5</v>
      </c>
    </row>
    <row r="51" spans="1:11" ht="30" customHeight="1" x14ac:dyDescent="0.25">
      <c r="A51" s="2">
        <v>150</v>
      </c>
      <c r="B51" s="2">
        <v>230</v>
      </c>
      <c r="C51" s="3">
        <v>1</v>
      </c>
      <c r="D51" s="2" t="s">
        <v>208</v>
      </c>
      <c r="E51" s="2">
        <v>20</v>
      </c>
      <c r="F51" s="2">
        <v>14</v>
      </c>
      <c r="G51" s="3">
        <f t="shared" si="2"/>
        <v>70</v>
      </c>
      <c r="H51" s="2">
        <v>0</v>
      </c>
      <c r="I51" s="2" t="s">
        <v>209</v>
      </c>
      <c r="J51" s="6">
        <v>6</v>
      </c>
      <c r="K51" s="7">
        <f t="shared" si="3"/>
        <v>30</v>
      </c>
    </row>
    <row r="52" spans="1:11" ht="30" customHeight="1" x14ac:dyDescent="0.25">
      <c r="A52" s="2">
        <v>150</v>
      </c>
      <c r="B52" s="2">
        <v>230</v>
      </c>
      <c r="C52" s="3">
        <v>1.5</v>
      </c>
      <c r="D52" s="2" t="s">
        <v>208</v>
      </c>
      <c r="E52" s="2">
        <v>20</v>
      </c>
      <c r="F52" s="2">
        <v>14</v>
      </c>
      <c r="G52" s="3">
        <f t="shared" si="2"/>
        <v>70</v>
      </c>
      <c r="H52" s="2">
        <v>0</v>
      </c>
      <c r="I52" s="2" t="s">
        <v>209</v>
      </c>
      <c r="J52" s="6">
        <v>6</v>
      </c>
      <c r="K52" s="7">
        <f t="shared" si="3"/>
        <v>30</v>
      </c>
    </row>
    <row r="53" spans="1:11" ht="30" customHeight="1" x14ac:dyDescent="0.25">
      <c r="A53" s="2">
        <v>150</v>
      </c>
      <c r="B53" s="2">
        <v>230</v>
      </c>
      <c r="C53" s="3">
        <v>2</v>
      </c>
      <c r="D53" s="2" t="s">
        <v>208</v>
      </c>
      <c r="E53" s="2">
        <v>20</v>
      </c>
      <c r="F53" s="2">
        <v>7</v>
      </c>
      <c r="G53" s="3">
        <f t="shared" si="2"/>
        <v>35</v>
      </c>
      <c r="H53" s="2">
        <v>0</v>
      </c>
      <c r="I53" s="2" t="s">
        <v>211</v>
      </c>
      <c r="J53" s="6">
        <v>13</v>
      </c>
      <c r="K53" s="7">
        <f t="shared" si="3"/>
        <v>65</v>
      </c>
    </row>
    <row r="54" spans="1:11" ht="30" customHeight="1" x14ac:dyDescent="0.25">
      <c r="A54" s="2">
        <v>150</v>
      </c>
      <c r="B54" s="2">
        <v>240</v>
      </c>
      <c r="C54" s="3">
        <v>0.5</v>
      </c>
      <c r="D54" s="2" t="s">
        <v>208</v>
      </c>
      <c r="E54" s="2">
        <v>20</v>
      </c>
      <c r="F54" s="2">
        <v>19</v>
      </c>
      <c r="G54" s="3">
        <f t="shared" si="2"/>
        <v>95</v>
      </c>
      <c r="H54" s="2">
        <v>0</v>
      </c>
      <c r="I54" s="2" t="s">
        <v>210</v>
      </c>
      <c r="J54" s="6">
        <v>1</v>
      </c>
      <c r="K54" s="7">
        <f t="shared" si="3"/>
        <v>5</v>
      </c>
    </row>
    <row r="55" spans="1:11" ht="30" customHeight="1" x14ac:dyDescent="0.25">
      <c r="A55" s="2">
        <v>150</v>
      </c>
      <c r="B55" s="2">
        <v>240</v>
      </c>
      <c r="C55" s="3">
        <v>1</v>
      </c>
      <c r="D55" s="2" t="s">
        <v>208</v>
      </c>
      <c r="E55" s="2">
        <v>20</v>
      </c>
      <c r="F55" s="2">
        <v>17</v>
      </c>
      <c r="G55" s="3">
        <f t="shared" si="2"/>
        <v>85</v>
      </c>
      <c r="H55" s="2">
        <v>0</v>
      </c>
      <c r="I55" s="2" t="s">
        <v>209</v>
      </c>
      <c r="J55" s="6">
        <v>3</v>
      </c>
      <c r="K55" s="7">
        <f t="shared" si="3"/>
        <v>15</v>
      </c>
    </row>
    <row r="56" spans="1:11" ht="30" customHeight="1" x14ac:dyDescent="0.25">
      <c r="A56" s="2">
        <v>150</v>
      </c>
      <c r="B56" s="2">
        <v>240</v>
      </c>
      <c r="C56" s="3">
        <v>1.5</v>
      </c>
      <c r="D56" s="2" t="s">
        <v>208</v>
      </c>
      <c r="E56" s="2">
        <v>20</v>
      </c>
      <c r="F56" s="2">
        <v>14</v>
      </c>
      <c r="G56" s="3">
        <f t="shared" si="2"/>
        <v>70</v>
      </c>
      <c r="H56" s="2">
        <v>0</v>
      </c>
      <c r="I56" s="2" t="s">
        <v>209</v>
      </c>
      <c r="J56" s="6">
        <v>6</v>
      </c>
      <c r="K56" s="7">
        <f t="shared" si="3"/>
        <v>30</v>
      </c>
    </row>
    <row r="57" spans="1:11" ht="30" customHeight="1" x14ac:dyDescent="0.25">
      <c r="A57" s="2">
        <v>150</v>
      </c>
      <c r="B57" s="2">
        <v>240</v>
      </c>
      <c r="C57" s="3">
        <v>2</v>
      </c>
      <c r="D57" s="2" t="s">
        <v>208</v>
      </c>
      <c r="E57" s="2">
        <v>20</v>
      </c>
      <c r="F57" s="2">
        <v>6</v>
      </c>
      <c r="G57" s="3">
        <f t="shared" si="2"/>
        <v>30</v>
      </c>
      <c r="H57" s="2">
        <v>0</v>
      </c>
      <c r="I57" s="2" t="s">
        <v>211</v>
      </c>
      <c r="J57" s="6">
        <v>14</v>
      </c>
      <c r="K57" s="7">
        <f t="shared" si="3"/>
        <v>70</v>
      </c>
    </row>
    <row r="58" spans="1:11" ht="30" customHeight="1" x14ac:dyDescent="0.25">
      <c r="A58" s="2">
        <v>150</v>
      </c>
      <c r="B58" s="2">
        <v>250</v>
      </c>
      <c r="C58" s="3">
        <v>0.5</v>
      </c>
      <c r="D58" s="2" t="s">
        <v>208</v>
      </c>
      <c r="E58" s="2">
        <v>20</v>
      </c>
      <c r="F58" s="2">
        <v>19</v>
      </c>
      <c r="G58" s="3">
        <f t="shared" si="2"/>
        <v>95</v>
      </c>
      <c r="H58" s="2">
        <v>0</v>
      </c>
      <c r="I58" s="2" t="s">
        <v>210</v>
      </c>
      <c r="J58" s="6">
        <v>1</v>
      </c>
      <c r="K58" s="7">
        <f t="shared" si="3"/>
        <v>5</v>
      </c>
    </row>
    <row r="59" spans="1:11" ht="30" customHeight="1" x14ac:dyDescent="0.25">
      <c r="A59" s="2">
        <v>150</v>
      </c>
      <c r="B59" s="2">
        <v>250</v>
      </c>
      <c r="C59" s="3">
        <v>1</v>
      </c>
      <c r="D59" s="2" t="s">
        <v>208</v>
      </c>
      <c r="E59" s="2">
        <v>20</v>
      </c>
      <c r="F59" s="2">
        <v>20</v>
      </c>
      <c r="G59" s="3">
        <f t="shared" si="2"/>
        <v>100</v>
      </c>
      <c r="H59" s="2">
        <v>0</v>
      </c>
      <c r="I59" s="2" t="s">
        <v>210</v>
      </c>
      <c r="J59" s="6">
        <v>0</v>
      </c>
      <c r="K59" s="7">
        <f t="shared" si="3"/>
        <v>0</v>
      </c>
    </row>
    <row r="60" spans="1:11" ht="30" customHeight="1" x14ac:dyDescent="0.25">
      <c r="A60" s="2">
        <v>150</v>
      </c>
      <c r="B60" s="2">
        <v>250</v>
      </c>
      <c r="C60" s="3">
        <v>1.5</v>
      </c>
      <c r="D60" s="2" t="s">
        <v>208</v>
      </c>
      <c r="E60" s="2">
        <v>20</v>
      </c>
      <c r="F60" s="2">
        <v>15</v>
      </c>
      <c r="G60" s="3">
        <f t="shared" si="2"/>
        <v>75</v>
      </c>
      <c r="H60" s="2">
        <v>0</v>
      </c>
      <c r="I60" s="2" t="s">
        <v>209</v>
      </c>
      <c r="J60" s="6">
        <v>5</v>
      </c>
      <c r="K60" s="7">
        <f t="shared" si="3"/>
        <v>25</v>
      </c>
    </row>
    <row r="61" spans="1:11" ht="30" customHeight="1" x14ac:dyDescent="0.25">
      <c r="A61" s="2">
        <v>150</v>
      </c>
      <c r="B61" s="2">
        <v>250</v>
      </c>
      <c r="C61" s="3">
        <v>2</v>
      </c>
      <c r="D61" s="2" t="s">
        <v>208</v>
      </c>
      <c r="E61" s="2">
        <v>20</v>
      </c>
      <c r="F61" s="2">
        <v>8</v>
      </c>
      <c r="G61" s="3">
        <f t="shared" si="2"/>
        <v>40</v>
      </c>
      <c r="H61" s="2">
        <v>0</v>
      </c>
      <c r="I61" s="2" t="s">
        <v>211</v>
      </c>
      <c r="J61" s="6">
        <v>12</v>
      </c>
      <c r="K61" s="7">
        <f t="shared" si="3"/>
        <v>60</v>
      </c>
    </row>
  </sheetData>
  <conditionalFormatting sqref="G2:G6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K2:K6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731"/>
  <sheetViews>
    <sheetView showGridLines="0" workbookViewId="0">
      <selection activeCell="I15" sqref="I15"/>
    </sheetView>
  </sheetViews>
  <sheetFormatPr defaultColWidth="9" defaultRowHeight="15" x14ac:dyDescent="0.25"/>
  <cols>
    <col min="1" max="1" width="23" customWidth="1"/>
    <col min="2" max="3" width="10" customWidth="1"/>
    <col min="4" max="4" width="21" customWidth="1"/>
    <col min="5" max="5" width="17" customWidth="1"/>
    <col min="6" max="6" width="15" customWidth="1"/>
    <col min="7" max="7" width="12" customWidth="1"/>
    <col min="8" max="8" width="16" customWidth="1"/>
    <col min="9" max="9" width="38" customWidth="1"/>
    <col min="10" max="10" width="19" customWidth="1"/>
    <col min="11" max="11" width="10" customWidth="1"/>
    <col min="12" max="12" width="18" customWidth="1"/>
    <col min="13" max="13" width="25" customWidth="1"/>
    <col min="14" max="14" width="36" customWidth="1"/>
    <col min="15" max="15" width="18" customWidth="1"/>
  </cols>
  <sheetData>
    <row r="1" spans="1:15" x14ac:dyDescent="0.25">
      <c r="A1" s="8" t="s">
        <v>214</v>
      </c>
      <c r="B1" s="8" t="s">
        <v>180</v>
      </c>
      <c r="C1" s="8" t="s">
        <v>215</v>
      </c>
      <c r="D1" s="8" t="s">
        <v>216</v>
      </c>
      <c r="E1" s="8" t="s">
        <v>157</v>
      </c>
      <c r="F1" s="8" t="s">
        <v>84</v>
      </c>
      <c r="G1" s="8" t="s">
        <v>158</v>
      </c>
      <c r="H1" s="8" t="s">
        <v>85</v>
      </c>
      <c r="I1" s="8" t="s">
        <v>86</v>
      </c>
      <c r="J1" s="8" t="s">
        <v>217</v>
      </c>
      <c r="K1" s="8" t="s">
        <v>218</v>
      </c>
      <c r="L1" s="8" t="s">
        <v>89</v>
      </c>
      <c r="M1" s="8" t="s">
        <v>88</v>
      </c>
      <c r="N1" s="21" t="s">
        <v>219</v>
      </c>
      <c r="O1" s="8" t="s">
        <v>220</v>
      </c>
    </row>
    <row r="2" spans="1:15" ht="18" customHeight="1" x14ac:dyDescent="0.25">
      <c r="A2" s="11" t="s">
        <v>221</v>
      </c>
      <c r="B2" s="11">
        <v>1</v>
      </c>
      <c r="C2" s="11">
        <v>16</v>
      </c>
      <c r="D2" s="12" t="s">
        <v>222</v>
      </c>
      <c r="E2" s="11">
        <v>150</v>
      </c>
      <c r="F2" s="11">
        <v>110</v>
      </c>
      <c r="G2" s="13">
        <v>0.5</v>
      </c>
      <c r="H2" s="11" t="s">
        <v>111</v>
      </c>
      <c r="I2" s="11" t="s">
        <v>112</v>
      </c>
      <c r="J2" s="11">
        <v>1</v>
      </c>
      <c r="K2" s="13">
        <v>-48.5</v>
      </c>
      <c r="L2" s="11">
        <v>0</v>
      </c>
      <c r="M2" s="11" t="s">
        <v>48</v>
      </c>
      <c r="N2" s="11"/>
      <c r="O2" s="14">
        <v>0</v>
      </c>
    </row>
    <row r="3" spans="1:15" ht="18" customHeight="1" x14ac:dyDescent="0.25">
      <c r="A3" s="11" t="s">
        <v>221</v>
      </c>
      <c r="B3" s="11">
        <v>2</v>
      </c>
      <c r="C3" s="11">
        <v>16</v>
      </c>
      <c r="D3" s="12" t="s">
        <v>223</v>
      </c>
      <c r="E3" s="11">
        <v>150</v>
      </c>
      <c r="F3" s="11">
        <v>110</v>
      </c>
      <c r="G3" s="13">
        <v>1</v>
      </c>
      <c r="H3" s="11" t="s">
        <v>111</v>
      </c>
      <c r="I3" s="11" t="s">
        <v>112</v>
      </c>
      <c r="J3" s="11">
        <v>1</v>
      </c>
      <c r="K3" s="13">
        <v>-56.5</v>
      </c>
      <c r="L3" s="11">
        <v>0</v>
      </c>
      <c r="M3" s="11" t="s">
        <v>48</v>
      </c>
      <c r="N3" s="11"/>
      <c r="O3" s="14">
        <v>0</v>
      </c>
    </row>
    <row r="4" spans="1:15" ht="18" customHeight="1" x14ac:dyDescent="0.25">
      <c r="A4" s="11" t="s">
        <v>221</v>
      </c>
      <c r="B4" s="11">
        <v>3</v>
      </c>
      <c r="C4" s="11">
        <v>16</v>
      </c>
      <c r="D4" s="12" t="s">
        <v>224</v>
      </c>
      <c r="E4" s="11">
        <v>150</v>
      </c>
      <c r="F4" s="11">
        <v>110</v>
      </c>
      <c r="G4" s="13">
        <v>1.5</v>
      </c>
      <c r="H4" s="11" t="s">
        <v>111</v>
      </c>
      <c r="I4" s="11" t="s">
        <v>112</v>
      </c>
      <c r="J4" s="11">
        <v>1</v>
      </c>
      <c r="K4" s="13">
        <v>-70</v>
      </c>
      <c r="L4" s="11">
        <v>0</v>
      </c>
      <c r="M4" s="11" t="s">
        <v>48</v>
      </c>
      <c r="N4" s="11"/>
      <c r="O4" s="14">
        <v>0</v>
      </c>
    </row>
    <row r="5" spans="1:15" ht="18" customHeight="1" x14ac:dyDescent="0.25">
      <c r="A5" s="11" t="s">
        <v>221</v>
      </c>
      <c r="B5" s="11">
        <v>4</v>
      </c>
      <c r="C5" s="11">
        <v>16</v>
      </c>
      <c r="D5" s="12" t="s">
        <v>225</v>
      </c>
      <c r="E5" s="11">
        <v>150</v>
      </c>
      <c r="F5" s="11">
        <v>110</v>
      </c>
      <c r="G5" s="13">
        <v>2</v>
      </c>
      <c r="H5" s="11" t="s">
        <v>111</v>
      </c>
      <c r="I5" s="11" t="s">
        <v>112</v>
      </c>
      <c r="J5" s="11">
        <v>1</v>
      </c>
      <c r="K5" s="13">
        <v>-63.5</v>
      </c>
      <c r="L5" s="11">
        <v>0</v>
      </c>
      <c r="M5" s="11" t="s">
        <v>48</v>
      </c>
      <c r="N5" s="11"/>
      <c r="O5" s="14">
        <v>0</v>
      </c>
    </row>
    <row r="6" spans="1:15" ht="18" customHeight="1" x14ac:dyDescent="0.25">
      <c r="A6" s="11" t="s">
        <v>221</v>
      </c>
      <c r="B6" s="11">
        <v>5</v>
      </c>
      <c r="C6" s="11">
        <v>16</v>
      </c>
      <c r="D6" s="12" t="s">
        <v>226</v>
      </c>
      <c r="E6" s="11">
        <v>150</v>
      </c>
      <c r="F6" s="11">
        <v>110</v>
      </c>
      <c r="G6" s="13">
        <v>2.5</v>
      </c>
      <c r="H6" s="11" t="s">
        <v>111</v>
      </c>
      <c r="I6" s="11" t="s">
        <v>112</v>
      </c>
      <c r="J6" s="11">
        <v>1</v>
      </c>
      <c r="K6" s="13">
        <v>-72.5</v>
      </c>
      <c r="L6" s="11">
        <v>0</v>
      </c>
      <c r="M6" s="11" t="s">
        <v>48</v>
      </c>
      <c r="N6" s="11"/>
      <c r="O6" s="14">
        <v>0</v>
      </c>
    </row>
    <row r="7" spans="1:15" ht="18" customHeight="1" x14ac:dyDescent="0.25">
      <c r="A7" s="11" t="s">
        <v>221</v>
      </c>
      <c r="B7" s="11">
        <v>6</v>
      </c>
      <c r="C7" s="11">
        <v>16</v>
      </c>
      <c r="D7" s="12" t="s">
        <v>227</v>
      </c>
      <c r="E7" s="11">
        <v>150</v>
      </c>
      <c r="F7" s="11">
        <v>110</v>
      </c>
      <c r="G7" s="13">
        <v>3</v>
      </c>
      <c r="H7" s="11" t="s">
        <v>111</v>
      </c>
      <c r="I7" s="11"/>
      <c r="J7" s="11">
        <v>0</v>
      </c>
      <c r="K7" s="13"/>
      <c r="L7" s="11">
        <v>0</v>
      </c>
      <c r="M7" s="11" t="s">
        <v>48</v>
      </c>
      <c r="N7" s="11"/>
      <c r="O7" s="14">
        <v>1</v>
      </c>
    </row>
    <row r="8" spans="1:15" ht="18" customHeight="1" x14ac:dyDescent="0.25">
      <c r="A8" s="11" t="s">
        <v>221</v>
      </c>
      <c r="B8" s="11">
        <v>7</v>
      </c>
      <c r="C8" s="11">
        <v>16</v>
      </c>
      <c r="D8" s="12" t="s">
        <v>228</v>
      </c>
      <c r="E8" s="11">
        <v>150</v>
      </c>
      <c r="F8" s="11">
        <v>110</v>
      </c>
      <c r="G8" s="13">
        <v>3.5</v>
      </c>
      <c r="H8" s="11" t="s">
        <v>111</v>
      </c>
      <c r="I8" s="11"/>
      <c r="J8" s="11">
        <v>0</v>
      </c>
      <c r="K8" s="13"/>
      <c r="L8" s="11">
        <v>0</v>
      </c>
      <c r="M8" s="11" t="s">
        <v>48</v>
      </c>
      <c r="N8" s="11"/>
      <c r="O8" s="14">
        <v>1</v>
      </c>
    </row>
    <row r="9" spans="1:15" ht="18" customHeight="1" x14ac:dyDescent="0.25">
      <c r="A9" s="11" t="s">
        <v>221</v>
      </c>
      <c r="B9" s="11">
        <v>8</v>
      </c>
      <c r="C9" s="11">
        <v>16</v>
      </c>
      <c r="D9" s="12" t="s">
        <v>229</v>
      </c>
      <c r="E9" s="11">
        <v>150</v>
      </c>
      <c r="F9" s="11">
        <v>110</v>
      </c>
      <c r="G9" s="13">
        <v>4</v>
      </c>
      <c r="H9" s="11" t="s">
        <v>111</v>
      </c>
      <c r="I9" s="11"/>
      <c r="J9" s="11">
        <v>0</v>
      </c>
      <c r="K9" s="13"/>
      <c r="L9" s="11">
        <v>0</v>
      </c>
      <c r="M9" s="11" t="s">
        <v>48</v>
      </c>
      <c r="N9" s="11"/>
      <c r="O9" s="14">
        <v>1</v>
      </c>
    </row>
    <row r="10" spans="1:15" ht="18" customHeight="1" x14ac:dyDescent="0.25">
      <c r="A10" s="11" t="s">
        <v>221</v>
      </c>
      <c r="B10" s="11">
        <v>9</v>
      </c>
      <c r="C10" s="11">
        <v>16</v>
      </c>
      <c r="D10" s="12" t="s">
        <v>230</v>
      </c>
      <c r="E10" s="11">
        <v>150</v>
      </c>
      <c r="F10" s="11">
        <v>120</v>
      </c>
      <c r="G10" s="13">
        <v>0.5</v>
      </c>
      <c r="H10" s="11" t="s">
        <v>114</v>
      </c>
      <c r="I10" s="11" t="s">
        <v>115</v>
      </c>
      <c r="J10" s="11">
        <v>1</v>
      </c>
      <c r="K10" s="13">
        <v>-45.5</v>
      </c>
      <c r="L10" s="11">
        <v>0</v>
      </c>
      <c r="M10" s="11" t="s">
        <v>49</v>
      </c>
      <c r="N10" s="11"/>
      <c r="O10" s="14">
        <v>0</v>
      </c>
    </row>
    <row r="11" spans="1:15" ht="18" customHeight="1" x14ac:dyDescent="0.25">
      <c r="A11" s="11" t="s">
        <v>221</v>
      </c>
      <c r="B11" s="11">
        <v>10</v>
      </c>
      <c r="C11" s="11">
        <v>16</v>
      </c>
      <c r="D11" s="12" t="s">
        <v>231</v>
      </c>
      <c r="E11" s="11">
        <v>150</v>
      </c>
      <c r="F11" s="11">
        <v>120</v>
      </c>
      <c r="G11" s="13">
        <v>1</v>
      </c>
      <c r="H11" s="11" t="s">
        <v>114</v>
      </c>
      <c r="I11" s="11" t="s">
        <v>115</v>
      </c>
      <c r="J11" s="11">
        <v>1</v>
      </c>
      <c r="K11" s="13">
        <v>-56.5</v>
      </c>
      <c r="L11" s="11">
        <v>0</v>
      </c>
      <c r="M11" s="11" t="s">
        <v>49</v>
      </c>
      <c r="N11" s="11"/>
      <c r="O11" s="14">
        <v>0</v>
      </c>
    </row>
    <row r="12" spans="1:15" ht="18" customHeight="1" x14ac:dyDescent="0.25">
      <c r="A12" s="11" t="s">
        <v>221</v>
      </c>
      <c r="B12" s="11">
        <v>11</v>
      </c>
      <c r="C12" s="11">
        <v>16</v>
      </c>
      <c r="D12" s="12" t="s">
        <v>232</v>
      </c>
      <c r="E12" s="11">
        <v>150</v>
      </c>
      <c r="F12" s="11">
        <v>120</v>
      </c>
      <c r="G12" s="13">
        <v>1.5</v>
      </c>
      <c r="H12" s="11" t="s">
        <v>114</v>
      </c>
      <c r="I12" s="11" t="s">
        <v>115</v>
      </c>
      <c r="J12" s="11">
        <v>1</v>
      </c>
      <c r="K12" s="13">
        <v>-66</v>
      </c>
      <c r="L12" s="11">
        <v>0</v>
      </c>
      <c r="M12" s="11" t="s">
        <v>49</v>
      </c>
      <c r="N12" s="11"/>
      <c r="O12" s="14">
        <v>0</v>
      </c>
    </row>
    <row r="13" spans="1:15" ht="18" customHeight="1" x14ac:dyDescent="0.25">
      <c r="A13" s="11" t="s">
        <v>221</v>
      </c>
      <c r="B13" s="11">
        <v>12</v>
      </c>
      <c r="C13" s="11">
        <v>16</v>
      </c>
      <c r="D13" s="12" t="s">
        <v>233</v>
      </c>
      <c r="E13" s="11">
        <v>150</v>
      </c>
      <c r="F13" s="11">
        <v>120</v>
      </c>
      <c r="G13" s="13">
        <v>2</v>
      </c>
      <c r="H13" s="11" t="s">
        <v>114</v>
      </c>
      <c r="I13" s="11" t="s">
        <v>115</v>
      </c>
      <c r="J13" s="11">
        <v>1</v>
      </c>
      <c r="K13" s="13">
        <v>-65.5</v>
      </c>
      <c r="L13" s="11">
        <v>0</v>
      </c>
      <c r="M13" s="11" t="s">
        <v>49</v>
      </c>
      <c r="N13" s="11"/>
      <c r="O13" s="14">
        <v>0</v>
      </c>
    </row>
    <row r="14" spans="1:15" ht="18" customHeight="1" x14ac:dyDescent="0.25">
      <c r="A14" s="11" t="s">
        <v>221</v>
      </c>
      <c r="B14" s="11">
        <v>13</v>
      </c>
      <c r="C14" s="11">
        <v>16</v>
      </c>
      <c r="D14" s="12" t="s">
        <v>234</v>
      </c>
      <c r="E14" s="11">
        <v>150</v>
      </c>
      <c r="F14" s="11">
        <v>120</v>
      </c>
      <c r="G14" s="13">
        <v>2.5</v>
      </c>
      <c r="H14" s="11" t="s">
        <v>114</v>
      </c>
      <c r="I14" s="11" t="s">
        <v>115</v>
      </c>
      <c r="J14" s="11">
        <v>1</v>
      </c>
      <c r="K14" s="13">
        <v>-72</v>
      </c>
      <c r="L14" s="11">
        <v>0</v>
      </c>
      <c r="M14" s="11" t="s">
        <v>49</v>
      </c>
      <c r="N14" s="11"/>
      <c r="O14" s="14">
        <v>0</v>
      </c>
    </row>
    <row r="15" spans="1:15" ht="18" customHeight="1" x14ac:dyDescent="0.25">
      <c r="A15" s="11" t="s">
        <v>221</v>
      </c>
      <c r="B15" s="11">
        <v>14</v>
      </c>
      <c r="C15" s="11">
        <v>16</v>
      </c>
      <c r="D15" s="12" t="s">
        <v>235</v>
      </c>
      <c r="E15" s="11">
        <v>150</v>
      </c>
      <c r="F15" s="11">
        <v>120</v>
      </c>
      <c r="G15" s="13">
        <v>3</v>
      </c>
      <c r="H15" s="11" t="s">
        <v>114</v>
      </c>
      <c r="I15" s="11" t="s">
        <v>115</v>
      </c>
      <c r="J15" s="11">
        <v>1</v>
      </c>
      <c r="K15" s="13">
        <v>-75</v>
      </c>
      <c r="L15" s="11">
        <v>0</v>
      </c>
      <c r="M15" s="11" t="s">
        <v>49</v>
      </c>
      <c r="N15" s="11"/>
      <c r="O15" s="14">
        <v>0</v>
      </c>
    </row>
    <row r="16" spans="1:15" ht="18" customHeight="1" x14ac:dyDescent="0.25">
      <c r="A16" s="11" t="s">
        <v>221</v>
      </c>
      <c r="B16" s="11">
        <v>15</v>
      </c>
      <c r="C16" s="11">
        <v>16</v>
      </c>
      <c r="D16" s="12" t="s">
        <v>236</v>
      </c>
      <c r="E16" s="11">
        <v>150</v>
      </c>
      <c r="F16" s="11">
        <v>120</v>
      </c>
      <c r="G16" s="13">
        <v>3.5</v>
      </c>
      <c r="H16" s="11" t="s">
        <v>114</v>
      </c>
      <c r="I16" s="11"/>
      <c r="J16" s="11">
        <v>0</v>
      </c>
      <c r="K16" s="13"/>
      <c r="L16" s="11">
        <v>0</v>
      </c>
      <c r="M16" s="11" t="s">
        <v>49</v>
      </c>
      <c r="N16" s="11"/>
      <c r="O16" s="14">
        <v>1</v>
      </c>
    </row>
    <row r="17" spans="1:15" ht="18" customHeight="1" x14ac:dyDescent="0.25">
      <c r="A17" s="11" t="s">
        <v>221</v>
      </c>
      <c r="B17" s="11">
        <v>16</v>
      </c>
      <c r="C17" s="11">
        <v>16</v>
      </c>
      <c r="D17" s="12" t="s">
        <v>237</v>
      </c>
      <c r="E17" s="11">
        <v>150</v>
      </c>
      <c r="F17" s="11">
        <v>120</v>
      </c>
      <c r="G17" s="13">
        <v>4</v>
      </c>
      <c r="H17" s="11" t="s">
        <v>114</v>
      </c>
      <c r="I17" s="11"/>
      <c r="J17" s="11">
        <v>0</v>
      </c>
      <c r="K17" s="13"/>
      <c r="L17" s="11">
        <v>0</v>
      </c>
      <c r="M17" s="11" t="s">
        <v>49</v>
      </c>
      <c r="N17" s="11"/>
      <c r="O17" s="14">
        <v>1</v>
      </c>
    </row>
    <row r="18" spans="1:15" ht="18" customHeight="1" x14ac:dyDescent="0.25">
      <c r="A18" s="11" t="s">
        <v>221</v>
      </c>
      <c r="B18" s="11">
        <v>17</v>
      </c>
      <c r="C18" s="11">
        <v>16</v>
      </c>
      <c r="D18" s="12" t="s">
        <v>238</v>
      </c>
      <c r="E18" s="11">
        <v>150</v>
      </c>
      <c r="F18" s="11">
        <v>130</v>
      </c>
      <c r="G18" s="13">
        <v>0.5</v>
      </c>
      <c r="H18" s="11" t="s">
        <v>117</v>
      </c>
      <c r="I18" s="11" t="s">
        <v>118</v>
      </c>
      <c r="J18" s="11">
        <v>1</v>
      </c>
      <c r="K18" s="13">
        <v>-42</v>
      </c>
      <c r="L18" s="11">
        <v>0</v>
      </c>
      <c r="M18" s="11" t="s">
        <v>49</v>
      </c>
      <c r="N18" s="11"/>
      <c r="O18" s="14">
        <v>0</v>
      </c>
    </row>
    <row r="19" spans="1:15" ht="18" customHeight="1" x14ac:dyDescent="0.25">
      <c r="A19" s="11" t="s">
        <v>221</v>
      </c>
      <c r="B19" s="11">
        <v>18</v>
      </c>
      <c r="C19" s="11">
        <v>16</v>
      </c>
      <c r="D19" s="12" t="s">
        <v>239</v>
      </c>
      <c r="E19" s="11">
        <v>150</v>
      </c>
      <c r="F19" s="11">
        <v>130</v>
      </c>
      <c r="G19" s="13">
        <v>1</v>
      </c>
      <c r="H19" s="11" t="s">
        <v>117</v>
      </c>
      <c r="I19" s="11" t="s">
        <v>118</v>
      </c>
      <c r="J19" s="11">
        <v>1</v>
      </c>
      <c r="K19" s="13">
        <v>-54.5</v>
      </c>
      <c r="L19" s="11">
        <v>0</v>
      </c>
      <c r="M19" s="11" t="s">
        <v>49</v>
      </c>
      <c r="N19" s="11"/>
      <c r="O19" s="14">
        <v>0</v>
      </c>
    </row>
    <row r="20" spans="1:15" ht="18" customHeight="1" x14ac:dyDescent="0.25">
      <c r="A20" s="11" t="s">
        <v>221</v>
      </c>
      <c r="B20" s="11">
        <v>19</v>
      </c>
      <c r="C20" s="11">
        <v>16</v>
      </c>
      <c r="D20" s="12" t="s">
        <v>240</v>
      </c>
      <c r="E20" s="11">
        <v>150</v>
      </c>
      <c r="F20" s="11">
        <v>130</v>
      </c>
      <c r="G20" s="13">
        <v>1.5</v>
      </c>
      <c r="H20" s="11" t="s">
        <v>117</v>
      </c>
      <c r="I20" s="11" t="s">
        <v>118</v>
      </c>
      <c r="J20" s="11">
        <v>1</v>
      </c>
      <c r="K20" s="13">
        <v>-64</v>
      </c>
      <c r="L20" s="11">
        <v>0</v>
      </c>
      <c r="M20" s="11" t="s">
        <v>49</v>
      </c>
      <c r="N20" s="11"/>
      <c r="O20" s="14">
        <v>0</v>
      </c>
    </row>
    <row r="21" spans="1:15" ht="18" customHeight="1" x14ac:dyDescent="0.25">
      <c r="A21" s="11" t="s">
        <v>221</v>
      </c>
      <c r="B21" s="11">
        <v>20</v>
      </c>
      <c r="C21" s="11">
        <v>16</v>
      </c>
      <c r="D21" s="12" t="s">
        <v>241</v>
      </c>
      <c r="E21" s="11">
        <v>150</v>
      </c>
      <c r="F21" s="11">
        <v>130</v>
      </c>
      <c r="G21" s="13">
        <v>2</v>
      </c>
      <c r="H21" s="11" t="s">
        <v>117</v>
      </c>
      <c r="I21" s="11" t="s">
        <v>118</v>
      </c>
      <c r="J21" s="11">
        <v>1</v>
      </c>
      <c r="K21" s="13">
        <v>-68.5</v>
      </c>
      <c r="L21" s="11">
        <v>0</v>
      </c>
      <c r="M21" s="11" t="s">
        <v>49</v>
      </c>
      <c r="N21" s="11"/>
      <c r="O21" s="14">
        <v>0</v>
      </c>
    </row>
    <row r="22" spans="1:15" ht="18" customHeight="1" x14ac:dyDescent="0.25">
      <c r="A22" s="11" t="s">
        <v>221</v>
      </c>
      <c r="B22" s="11">
        <v>21</v>
      </c>
      <c r="C22" s="11">
        <v>16</v>
      </c>
      <c r="D22" s="12" t="s">
        <v>242</v>
      </c>
      <c r="E22" s="11">
        <v>150</v>
      </c>
      <c r="F22" s="11">
        <v>130</v>
      </c>
      <c r="G22" s="13">
        <v>2.5</v>
      </c>
      <c r="H22" s="11" t="s">
        <v>117</v>
      </c>
      <c r="I22" s="11" t="s">
        <v>118</v>
      </c>
      <c r="J22" s="11">
        <v>1</v>
      </c>
      <c r="K22" s="13">
        <v>-71</v>
      </c>
      <c r="L22" s="11">
        <v>0</v>
      </c>
      <c r="M22" s="11" t="s">
        <v>49</v>
      </c>
      <c r="N22" s="11"/>
      <c r="O22" s="14">
        <v>0</v>
      </c>
    </row>
    <row r="23" spans="1:15" ht="18" customHeight="1" x14ac:dyDescent="0.25">
      <c r="A23" s="11" t="s">
        <v>221</v>
      </c>
      <c r="B23" s="11">
        <v>22</v>
      </c>
      <c r="C23" s="11">
        <v>16</v>
      </c>
      <c r="D23" s="12" t="s">
        <v>243</v>
      </c>
      <c r="E23" s="11">
        <v>150</v>
      </c>
      <c r="F23" s="11">
        <v>130</v>
      </c>
      <c r="G23" s="13">
        <v>3</v>
      </c>
      <c r="H23" s="11" t="s">
        <v>117</v>
      </c>
      <c r="I23" s="11"/>
      <c r="J23" s="11">
        <v>0</v>
      </c>
      <c r="K23" s="13"/>
      <c r="L23" s="11">
        <v>0</v>
      </c>
      <c r="M23" s="11" t="s">
        <v>49</v>
      </c>
      <c r="N23" s="11"/>
      <c r="O23" s="14">
        <v>1</v>
      </c>
    </row>
    <row r="24" spans="1:15" ht="18" customHeight="1" x14ac:dyDescent="0.25">
      <c r="A24" s="11" t="s">
        <v>221</v>
      </c>
      <c r="B24" s="11">
        <v>23</v>
      </c>
      <c r="C24" s="11">
        <v>16</v>
      </c>
      <c r="D24" s="12" t="s">
        <v>244</v>
      </c>
      <c r="E24" s="11">
        <v>150</v>
      </c>
      <c r="F24" s="11">
        <v>130</v>
      </c>
      <c r="G24" s="13">
        <v>3.5</v>
      </c>
      <c r="H24" s="11" t="s">
        <v>117</v>
      </c>
      <c r="I24" s="11" t="s">
        <v>118</v>
      </c>
      <c r="J24" s="11">
        <v>1</v>
      </c>
      <c r="K24" s="13">
        <v>-75</v>
      </c>
      <c r="L24" s="11">
        <v>0</v>
      </c>
      <c r="M24" s="11" t="s">
        <v>49</v>
      </c>
      <c r="N24" s="11"/>
      <c r="O24" s="14">
        <v>0</v>
      </c>
    </row>
    <row r="25" spans="1:15" ht="18" customHeight="1" x14ac:dyDescent="0.25">
      <c r="A25" s="11" t="s">
        <v>221</v>
      </c>
      <c r="B25" s="11">
        <v>24</v>
      </c>
      <c r="C25" s="11">
        <v>16</v>
      </c>
      <c r="D25" s="12" t="s">
        <v>245</v>
      </c>
      <c r="E25" s="11">
        <v>150</v>
      </c>
      <c r="F25" s="11">
        <v>130</v>
      </c>
      <c r="G25" s="13">
        <v>4</v>
      </c>
      <c r="H25" s="11" t="s">
        <v>117</v>
      </c>
      <c r="I25" s="11"/>
      <c r="J25" s="11">
        <v>0</v>
      </c>
      <c r="K25" s="13"/>
      <c r="L25" s="11">
        <v>0</v>
      </c>
      <c r="M25" s="11" t="s">
        <v>49</v>
      </c>
      <c r="N25" s="11"/>
      <c r="O25" s="14">
        <v>1</v>
      </c>
    </row>
    <row r="26" spans="1:15" ht="18" customHeight="1" x14ac:dyDescent="0.25">
      <c r="A26" s="11" t="s">
        <v>221</v>
      </c>
      <c r="B26" s="11">
        <v>25</v>
      </c>
      <c r="C26" s="11">
        <v>16</v>
      </c>
      <c r="D26" s="12" t="s">
        <v>246</v>
      </c>
      <c r="E26" s="11">
        <v>150</v>
      </c>
      <c r="F26" s="11">
        <v>140</v>
      </c>
      <c r="G26" s="13">
        <v>0.5</v>
      </c>
      <c r="H26" s="11" t="s">
        <v>119</v>
      </c>
      <c r="I26" s="11" t="s">
        <v>120</v>
      </c>
      <c r="J26" s="11">
        <v>1</v>
      </c>
      <c r="K26" s="13">
        <v>-38</v>
      </c>
      <c r="L26" s="11">
        <v>0</v>
      </c>
      <c r="M26" s="11" t="s">
        <v>49</v>
      </c>
      <c r="N26" s="11"/>
      <c r="O26" s="14">
        <v>0</v>
      </c>
    </row>
    <row r="27" spans="1:15" ht="18" customHeight="1" x14ac:dyDescent="0.25">
      <c r="A27" s="11" t="s">
        <v>221</v>
      </c>
      <c r="B27" s="11">
        <v>26</v>
      </c>
      <c r="C27" s="11">
        <v>16</v>
      </c>
      <c r="D27" s="12" t="s">
        <v>247</v>
      </c>
      <c r="E27" s="11">
        <v>150</v>
      </c>
      <c r="F27" s="11">
        <v>140</v>
      </c>
      <c r="G27" s="13">
        <v>1</v>
      </c>
      <c r="H27" s="11" t="s">
        <v>119</v>
      </c>
      <c r="I27" s="11" t="s">
        <v>120</v>
      </c>
      <c r="J27" s="11">
        <v>1</v>
      </c>
      <c r="K27" s="13">
        <v>-54.5</v>
      </c>
      <c r="L27" s="11">
        <v>0</v>
      </c>
      <c r="M27" s="11" t="s">
        <v>49</v>
      </c>
      <c r="N27" s="11"/>
      <c r="O27" s="14">
        <v>0</v>
      </c>
    </row>
    <row r="28" spans="1:15" ht="18" customHeight="1" x14ac:dyDescent="0.25">
      <c r="A28" s="11" t="s">
        <v>221</v>
      </c>
      <c r="B28" s="11">
        <v>27</v>
      </c>
      <c r="C28" s="11">
        <v>16</v>
      </c>
      <c r="D28" s="12" t="s">
        <v>248</v>
      </c>
      <c r="E28" s="11">
        <v>150</v>
      </c>
      <c r="F28" s="11">
        <v>140</v>
      </c>
      <c r="G28" s="13">
        <v>1.5</v>
      </c>
      <c r="H28" s="11" t="s">
        <v>119</v>
      </c>
      <c r="I28" s="11" t="s">
        <v>120</v>
      </c>
      <c r="J28" s="11">
        <v>1</v>
      </c>
      <c r="K28" s="13">
        <v>-66</v>
      </c>
      <c r="L28" s="11">
        <v>0</v>
      </c>
      <c r="M28" s="11" t="s">
        <v>49</v>
      </c>
      <c r="N28" s="11"/>
      <c r="O28" s="14">
        <v>0</v>
      </c>
    </row>
    <row r="29" spans="1:15" ht="18" customHeight="1" x14ac:dyDescent="0.25">
      <c r="A29" s="11" t="s">
        <v>221</v>
      </c>
      <c r="B29" s="11">
        <v>28</v>
      </c>
      <c r="C29" s="11">
        <v>16</v>
      </c>
      <c r="D29" s="12" t="s">
        <v>249</v>
      </c>
      <c r="E29" s="11">
        <v>150</v>
      </c>
      <c r="F29" s="11">
        <v>140</v>
      </c>
      <c r="G29" s="13">
        <v>2</v>
      </c>
      <c r="H29" s="11" t="s">
        <v>119</v>
      </c>
      <c r="I29" s="11" t="s">
        <v>120</v>
      </c>
      <c r="J29" s="11">
        <v>1</v>
      </c>
      <c r="K29" s="13">
        <v>-65.5</v>
      </c>
      <c r="L29" s="11">
        <v>0</v>
      </c>
      <c r="M29" s="11" t="s">
        <v>49</v>
      </c>
      <c r="N29" s="11"/>
      <c r="O29" s="14">
        <v>0</v>
      </c>
    </row>
    <row r="30" spans="1:15" ht="18" customHeight="1" x14ac:dyDescent="0.25">
      <c r="A30" s="11" t="s">
        <v>221</v>
      </c>
      <c r="B30" s="11">
        <v>29</v>
      </c>
      <c r="C30" s="11">
        <v>16</v>
      </c>
      <c r="D30" s="12" t="s">
        <v>250</v>
      </c>
      <c r="E30" s="11">
        <v>150</v>
      </c>
      <c r="F30" s="11">
        <v>140</v>
      </c>
      <c r="G30" s="13">
        <v>2.5</v>
      </c>
      <c r="H30" s="11" t="s">
        <v>119</v>
      </c>
      <c r="I30" s="11" t="s">
        <v>120</v>
      </c>
      <c r="J30" s="11">
        <v>1</v>
      </c>
      <c r="K30" s="13">
        <v>-72</v>
      </c>
      <c r="L30" s="11">
        <v>0</v>
      </c>
      <c r="M30" s="11" t="s">
        <v>49</v>
      </c>
      <c r="N30" s="11"/>
      <c r="O30" s="14">
        <v>0</v>
      </c>
    </row>
    <row r="31" spans="1:15" ht="18" customHeight="1" x14ac:dyDescent="0.25">
      <c r="A31" s="11" t="s">
        <v>221</v>
      </c>
      <c r="B31" s="11">
        <v>30</v>
      </c>
      <c r="C31" s="11">
        <v>16</v>
      </c>
      <c r="D31" s="12" t="s">
        <v>251</v>
      </c>
      <c r="E31" s="11">
        <v>150</v>
      </c>
      <c r="F31" s="11">
        <v>140</v>
      </c>
      <c r="G31" s="13">
        <v>3</v>
      </c>
      <c r="H31" s="11" t="s">
        <v>119</v>
      </c>
      <c r="I31" s="11" t="s">
        <v>120</v>
      </c>
      <c r="J31" s="11">
        <v>1</v>
      </c>
      <c r="K31" s="13">
        <v>-74.5</v>
      </c>
      <c r="L31" s="11">
        <v>0</v>
      </c>
      <c r="M31" s="11" t="s">
        <v>49</v>
      </c>
      <c r="N31" s="11"/>
      <c r="O31" s="14">
        <v>0</v>
      </c>
    </row>
    <row r="32" spans="1:15" ht="18" customHeight="1" x14ac:dyDescent="0.25">
      <c r="A32" s="11" t="s">
        <v>221</v>
      </c>
      <c r="B32" s="11">
        <v>31</v>
      </c>
      <c r="C32" s="11">
        <v>16</v>
      </c>
      <c r="D32" s="12" t="s">
        <v>252</v>
      </c>
      <c r="E32" s="11">
        <v>150</v>
      </c>
      <c r="F32" s="11">
        <v>140</v>
      </c>
      <c r="G32" s="13">
        <v>3.5</v>
      </c>
      <c r="H32" s="11" t="s">
        <v>119</v>
      </c>
      <c r="I32" s="11"/>
      <c r="J32" s="11">
        <v>0</v>
      </c>
      <c r="K32" s="13"/>
      <c r="L32" s="11">
        <v>0</v>
      </c>
      <c r="M32" s="11" t="s">
        <v>49</v>
      </c>
      <c r="N32" s="11"/>
      <c r="O32" s="14">
        <v>1</v>
      </c>
    </row>
    <row r="33" spans="1:15" ht="18" customHeight="1" x14ac:dyDescent="0.25">
      <c r="A33" s="11" t="s">
        <v>221</v>
      </c>
      <c r="B33" s="11">
        <v>32</v>
      </c>
      <c r="C33" s="11">
        <v>16</v>
      </c>
      <c r="D33" s="12" t="s">
        <v>253</v>
      </c>
      <c r="E33" s="11">
        <v>150</v>
      </c>
      <c r="F33" s="11">
        <v>140</v>
      </c>
      <c r="G33" s="13">
        <v>4</v>
      </c>
      <c r="H33" s="11" t="s">
        <v>119</v>
      </c>
      <c r="I33" s="11"/>
      <c r="J33" s="11">
        <v>0</v>
      </c>
      <c r="K33" s="13"/>
      <c r="L33" s="11">
        <v>0</v>
      </c>
      <c r="M33" s="11" t="s">
        <v>49</v>
      </c>
      <c r="N33" s="11"/>
      <c r="O33" s="14">
        <v>1</v>
      </c>
    </row>
    <row r="34" spans="1:15" ht="18" customHeight="1" x14ac:dyDescent="0.25">
      <c r="A34" s="11" t="s">
        <v>221</v>
      </c>
      <c r="B34" s="11">
        <v>33</v>
      </c>
      <c r="C34" s="11">
        <v>16</v>
      </c>
      <c r="D34" s="12" t="s">
        <v>254</v>
      </c>
      <c r="E34" s="11">
        <v>150</v>
      </c>
      <c r="F34" s="11">
        <v>150</v>
      </c>
      <c r="G34" s="13">
        <v>0.5</v>
      </c>
      <c r="H34" s="11" t="s">
        <v>122</v>
      </c>
      <c r="I34" s="11" t="s">
        <v>123</v>
      </c>
      <c r="J34" s="11">
        <v>1</v>
      </c>
      <c r="K34" s="13">
        <v>-40</v>
      </c>
      <c r="L34" s="11">
        <v>0</v>
      </c>
      <c r="M34" s="11" t="s">
        <v>48</v>
      </c>
      <c r="N34" s="11"/>
      <c r="O34" s="14">
        <v>0</v>
      </c>
    </row>
    <row r="35" spans="1:15" ht="18" customHeight="1" x14ac:dyDescent="0.25">
      <c r="A35" s="11" t="s">
        <v>221</v>
      </c>
      <c r="B35" s="11">
        <v>34</v>
      </c>
      <c r="C35" s="11">
        <v>16</v>
      </c>
      <c r="D35" s="12" t="s">
        <v>255</v>
      </c>
      <c r="E35" s="11">
        <v>150</v>
      </c>
      <c r="F35" s="11">
        <v>150</v>
      </c>
      <c r="G35" s="13">
        <v>1</v>
      </c>
      <c r="H35" s="11" t="s">
        <v>122</v>
      </c>
      <c r="I35" s="11" t="s">
        <v>123</v>
      </c>
      <c r="J35" s="11">
        <v>1</v>
      </c>
      <c r="K35" s="13">
        <v>-54</v>
      </c>
      <c r="L35" s="11">
        <v>0</v>
      </c>
      <c r="M35" s="11" t="s">
        <v>48</v>
      </c>
      <c r="N35" s="11"/>
      <c r="O35" s="14">
        <v>0</v>
      </c>
    </row>
    <row r="36" spans="1:15" ht="18" customHeight="1" x14ac:dyDescent="0.25">
      <c r="A36" s="11" t="s">
        <v>221</v>
      </c>
      <c r="B36" s="11">
        <v>35</v>
      </c>
      <c r="C36" s="11">
        <v>16</v>
      </c>
      <c r="D36" s="12" t="s">
        <v>256</v>
      </c>
      <c r="E36" s="11">
        <v>150</v>
      </c>
      <c r="F36" s="11">
        <v>150</v>
      </c>
      <c r="G36" s="13">
        <v>1.5</v>
      </c>
      <c r="H36" s="11" t="s">
        <v>122</v>
      </c>
      <c r="I36" s="11" t="s">
        <v>123</v>
      </c>
      <c r="J36" s="11">
        <v>1</v>
      </c>
      <c r="K36" s="13">
        <v>-67</v>
      </c>
      <c r="L36" s="11">
        <v>0</v>
      </c>
      <c r="M36" s="11" t="s">
        <v>48</v>
      </c>
      <c r="N36" s="11"/>
      <c r="O36" s="14">
        <v>0</v>
      </c>
    </row>
    <row r="37" spans="1:15" ht="18" customHeight="1" x14ac:dyDescent="0.25">
      <c r="A37" s="11" t="s">
        <v>221</v>
      </c>
      <c r="B37" s="11">
        <v>36</v>
      </c>
      <c r="C37" s="11">
        <v>16</v>
      </c>
      <c r="D37" s="12" t="s">
        <v>257</v>
      </c>
      <c r="E37" s="11">
        <v>150</v>
      </c>
      <c r="F37" s="11">
        <v>150</v>
      </c>
      <c r="G37" s="13">
        <v>2</v>
      </c>
      <c r="H37" s="11" t="s">
        <v>122</v>
      </c>
      <c r="I37" s="11" t="s">
        <v>123</v>
      </c>
      <c r="J37" s="11">
        <v>1</v>
      </c>
      <c r="K37" s="13">
        <v>-65</v>
      </c>
      <c r="L37" s="11">
        <v>0</v>
      </c>
      <c r="M37" s="11" t="s">
        <v>48</v>
      </c>
      <c r="N37" s="11"/>
      <c r="O37" s="14">
        <v>0</v>
      </c>
    </row>
    <row r="38" spans="1:15" ht="18" customHeight="1" x14ac:dyDescent="0.25">
      <c r="A38" s="11" t="s">
        <v>221</v>
      </c>
      <c r="B38" s="11">
        <v>37</v>
      </c>
      <c r="C38" s="11">
        <v>16</v>
      </c>
      <c r="D38" s="12" t="s">
        <v>258</v>
      </c>
      <c r="E38" s="11">
        <v>150</v>
      </c>
      <c r="F38" s="11">
        <v>150</v>
      </c>
      <c r="G38" s="13">
        <v>2.5</v>
      </c>
      <c r="H38" s="11" t="s">
        <v>122</v>
      </c>
      <c r="I38" s="11" t="s">
        <v>123</v>
      </c>
      <c r="J38" s="11">
        <v>1</v>
      </c>
      <c r="K38" s="13">
        <v>-71.5</v>
      </c>
      <c r="L38" s="11">
        <v>0</v>
      </c>
      <c r="M38" s="11" t="s">
        <v>48</v>
      </c>
      <c r="N38" s="11"/>
      <c r="O38" s="14">
        <v>0</v>
      </c>
    </row>
    <row r="39" spans="1:15" ht="18" customHeight="1" x14ac:dyDescent="0.25">
      <c r="A39" s="11" t="s">
        <v>221</v>
      </c>
      <c r="B39" s="11">
        <v>38</v>
      </c>
      <c r="C39" s="11">
        <v>16</v>
      </c>
      <c r="D39" s="12" t="s">
        <v>259</v>
      </c>
      <c r="E39" s="11">
        <v>150</v>
      </c>
      <c r="F39" s="11">
        <v>150</v>
      </c>
      <c r="G39" s="13">
        <v>3</v>
      </c>
      <c r="H39" s="11" t="s">
        <v>122</v>
      </c>
      <c r="I39" s="11" t="s">
        <v>123</v>
      </c>
      <c r="J39" s="11">
        <v>1</v>
      </c>
      <c r="K39" s="13">
        <v>-73</v>
      </c>
      <c r="L39" s="11">
        <v>0</v>
      </c>
      <c r="M39" s="11" t="s">
        <v>48</v>
      </c>
      <c r="N39" s="11"/>
      <c r="O39" s="14">
        <v>0</v>
      </c>
    </row>
    <row r="40" spans="1:15" ht="18" customHeight="1" x14ac:dyDescent="0.25">
      <c r="A40" s="11" t="s">
        <v>221</v>
      </c>
      <c r="B40" s="11">
        <v>39</v>
      </c>
      <c r="C40" s="11">
        <v>16</v>
      </c>
      <c r="D40" s="12" t="s">
        <v>260</v>
      </c>
      <c r="E40" s="11">
        <v>150</v>
      </c>
      <c r="F40" s="11">
        <v>150</v>
      </c>
      <c r="G40" s="13">
        <v>3.5</v>
      </c>
      <c r="H40" s="11" t="s">
        <v>122</v>
      </c>
      <c r="I40" s="11"/>
      <c r="J40" s="11">
        <v>0</v>
      </c>
      <c r="K40" s="13"/>
      <c r="L40" s="11">
        <v>0</v>
      </c>
      <c r="M40" s="11" t="s">
        <v>48</v>
      </c>
      <c r="N40" s="11"/>
      <c r="O40" s="14">
        <v>1</v>
      </c>
    </row>
    <row r="41" spans="1:15" ht="18" customHeight="1" x14ac:dyDescent="0.25">
      <c r="A41" s="11" t="s">
        <v>221</v>
      </c>
      <c r="B41" s="11">
        <v>40</v>
      </c>
      <c r="C41" s="11">
        <v>16</v>
      </c>
      <c r="D41" s="12" t="s">
        <v>261</v>
      </c>
      <c r="E41" s="11">
        <v>150</v>
      </c>
      <c r="F41" s="11">
        <v>150</v>
      </c>
      <c r="G41" s="13">
        <v>4</v>
      </c>
      <c r="H41" s="11" t="s">
        <v>122</v>
      </c>
      <c r="I41" s="11"/>
      <c r="J41" s="11">
        <v>0</v>
      </c>
      <c r="K41" s="13"/>
      <c r="L41" s="11">
        <v>0</v>
      </c>
      <c r="M41" s="11" t="s">
        <v>48</v>
      </c>
      <c r="N41" s="11"/>
      <c r="O41" s="14">
        <v>1</v>
      </c>
    </row>
    <row r="42" spans="1:15" ht="18" customHeight="1" x14ac:dyDescent="0.25">
      <c r="A42" s="11" t="s">
        <v>221</v>
      </c>
      <c r="B42" s="11">
        <v>41</v>
      </c>
      <c r="C42" s="11">
        <v>16</v>
      </c>
      <c r="D42" s="12" t="s">
        <v>262</v>
      </c>
      <c r="E42" s="11">
        <v>150</v>
      </c>
      <c r="F42" s="11">
        <v>160</v>
      </c>
      <c r="G42" s="13">
        <v>0.5</v>
      </c>
      <c r="H42" s="11" t="s">
        <v>125</v>
      </c>
      <c r="I42" s="11" t="s">
        <v>126</v>
      </c>
      <c r="J42" s="11">
        <v>1</v>
      </c>
      <c r="K42" s="13">
        <v>-41.5</v>
      </c>
      <c r="L42" s="11">
        <v>0</v>
      </c>
      <c r="M42" s="11" t="s">
        <v>48</v>
      </c>
      <c r="N42" s="11"/>
      <c r="O42" s="14">
        <v>0</v>
      </c>
    </row>
    <row r="43" spans="1:15" ht="18" customHeight="1" x14ac:dyDescent="0.25">
      <c r="A43" s="11" t="s">
        <v>221</v>
      </c>
      <c r="B43" s="11">
        <v>42</v>
      </c>
      <c r="C43" s="11">
        <v>16</v>
      </c>
      <c r="D43" s="12" t="s">
        <v>263</v>
      </c>
      <c r="E43" s="11">
        <v>150</v>
      </c>
      <c r="F43" s="11">
        <v>160</v>
      </c>
      <c r="G43" s="13">
        <v>1</v>
      </c>
      <c r="H43" s="11" t="s">
        <v>125</v>
      </c>
      <c r="I43" s="11" t="s">
        <v>126</v>
      </c>
      <c r="J43" s="11">
        <v>1</v>
      </c>
      <c r="K43" s="13">
        <v>-57.5</v>
      </c>
      <c r="L43" s="11">
        <v>0</v>
      </c>
      <c r="M43" s="11" t="s">
        <v>48</v>
      </c>
      <c r="N43" s="11"/>
      <c r="O43" s="14">
        <v>0</v>
      </c>
    </row>
    <row r="44" spans="1:15" ht="18" customHeight="1" x14ac:dyDescent="0.25">
      <c r="A44" s="11" t="s">
        <v>221</v>
      </c>
      <c r="B44" s="11">
        <v>43</v>
      </c>
      <c r="C44" s="11">
        <v>16</v>
      </c>
      <c r="D44" s="12" t="s">
        <v>264</v>
      </c>
      <c r="E44" s="11">
        <v>150</v>
      </c>
      <c r="F44" s="11">
        <v>160</v>
      </c>
      <c r="G44" s="13">
        <v>1.5</v>
      </c>
      <c r="H44" s="11" t="s">
        <v>125</v>
      </c>
      <c r="I44" s="11" t="s">
        <v>126</v>
      </c>
      <c r="J44" s="11">
        <v>1</v>
      </c>
      <c r="K44" s="13">
        <v>-62.5</v>
      </c>
      <c r="L44" s="11">
        <v>0</v>
      </c>
      <c r="M44" s="11" t="s">
        <v>48</v>
      </c>
      <c r="N44" s="11"/>
      <c r="O44" s="14">
        <v>0</v>
      </c>
    </row>
    <row r="45" spans="1:15" ht="18" customHeight="1" x14ac:dyDescent="0.25">
      <c r="A45" s="11" t="s">
        <v>221</v>
      </c>
      <c r="B45" s="11">
        <v>44</v>
      </c>
      <c r="C45" s="11">
        <v>16</v>
      </c>
      <c r="D45" s="12" t="s">
        <v>265</v>
      </c>
      <c r="E45" s="11">
        <v>150</v>
      </c>
      <c r="F45" s="11">
        <v>160</v>
      </c>
      <c r="G45" s="13">
        <v>2</v>
      </c>
      <c r="H45" s="11" t="s">
        <v>125</v>
      </c>
      <c r="I45" s="11" t="s">
        <v>126</v>
      </c>
      <c r="J45" s="11">
        <v>1</v>
      </c>
      <c r="K45" s="13">
        <v>-69</v>
      </c>
      <c r="L45" s="11">
        <v>0</v>
      </c>
      <c r="M45" s="11" t="s">
        <v>48</v>
      </c>
      <c r="N45" s="11"/>
      <c r="O45" s="14">
        <v>0</v>
      </c>
    </row>
    <row r="46" spans="1:15" ht="18" customHeight="1" x14ac:dyDescent="0.25">
      <c r="A46" s="11" t="s">
        <v>221</v>
      </c>
      <c r="B46" s="11">
        <v>45</v>
      </c>
      <c r="C46" s="11">
        <v>16</v>
      </c>
      <c r="D46" s="12" t="s">
        <v>266</v>
      </c>
      <c r="E46" s="11">
        <v>150</v>
      </c>
      <c r="F46" s="11">
        <v>160</v>
      </c>
      <c r="G46" s="13">
        <v>2.5</v>
      </c>
      <c r="H46" s="11" t="s">
        <v>125</v>
      </c>
      <c r="I46" s="11" t="s">
        <v>126</v>
      </c>
      <c r="J46" s="11">
        <v>1</v>
      </c>
      <c r="K46" s="13">
        <v>-69</v>
      </c>
      <c r="L46" s="11">
        <v>0</v>
      </c>
      <c r="M46" s="11" t="s">
        <v>48</v>
      </c>
      <c r="N46" s="11"/>
      <c r="O46" s="14">
        <v>0</v>
      </c>
    </row>
    <row r="47" spans="1:15" ht="18" customHeight="1" x14ac:dyDescent="0.25">
      <c r="A47" s="11" t="s">
        <v>221</v>
      </c>
      <c r="B47" s="11">
        <v>46</v>
      </c>
      <c r="C47" s="11">
        <v>16</v>
      </c>
      <c r="D47" s="12" t="s">
        <v>267</v>
      </c>
      <c r="E47" s="11">
        <v>150</v>
      </c>
      <c r="F47" s="11">
        <v>160</v>
      </c>
      <c r="G47" s="13">
        <v>3</v>
      </c>
      <c r="H47" s="11" t="s">
        <v>125</v>
      </c>
      <c r="I47" s="11"/>
      <c r="J47" s="11">
        <v>0</v>
      </c>
      <c r="K47" s="13"/>
      <c r="L47" s="11">
        <v>0</v>
      </c>
      <c r="M47" s="11" t="s">
        <v>48</v>
      </c>
      <c r="N47" s="11"/>
      <c r="O47" s="14">
        <v>1</v>
      </c>
    </row>
    <row r="48" spans="1:15" ht="18" customHeight="1" x14ac:dyDescent="0.25">
      <c r="A48" s="11" t="s">
        <v>221</v>
      </c>
      <c r="B48" s="11">
        <v>47</v>
      </c>
      <c r="C48" s="11">
        <v>16</v>
      </c>
      <c r="D48" s="12" t="s">
        <v>268</v>
      </c>
      <c r="E48" s="11">
        <v>150</v>
      </c>
      <c r="F48" s="11">
        <v>160</v>
      </c>
      <c r="G48" s="13">
        <v>3.5</v>
      </c>
      <c r="H48" s="11" t="s">
        <v>125</v>
      </c>
      <c r="I48" s="11"/>
      <c r="J48" s="11">
        <v>0</v>
      </c>
      <c r="K48" s="13"/>
      <c r="L48" s="11">
        <v>0</v>
      </c>
      <c r="M48" s="11" t="s">
        <v>48</v>
      </c>
      <c r="N48" s="11"/>
      <c r="O48" s="14">
        <v>1</v>
      </c>
    </row>
    <row r="49" spans="1:15" ht="18" customHeight="1" x14ac:dyDescent="0.25">
      <c r="A49" s="11" t="s">
        <v>221</v>
      </c>
      <c r="B49" s="11">
        <v>48</v>
      </c>
      <c r="C49" s="11">
        <v>16</v>
      </c>
      <c r="D49" s="12" t="s">
        <v>269</v>
      </c>
      <c r="E49" s="11">
        <v>150</v>
      </c>
      <c r="F49" s="11">
        <v>160</v>
      </c>
      <c r="G49" s="13">
        <v>4</v>
      </c>
      <c r="H49" s="11" t="s">
        <v>125</v>
      </c>
      <c r="I49" s="11"/>
      <c r="J49" s="11">
        <v>0</v>
      </c>
      <c r="K49" s="13"/>
      <c r="L49" s="11">
        <v>0</v>
      </c>
      <c r="M49" s="11" t="s">
        <v>48</v>
      </c>
      <c r="N49" s="11"/>
      <c r="O49" s="14">
        <v>1</v>
      </c>
    </row>
    <row r="50" spans="1:15" ht="18" customHeight="1" x14ac:dyDescent="0.25">
      <c r="A50" s="11" t="s">
        <v>221</v>
      </c>
      <c r="B50" s="11">
        <v>49</v>
      </c>
      <c r="C50" s="11">
        <v>16</v>
      </c>
      <c r="D50" s="12" t="s">
        <v>270</v>
      </c>
      <c r="E50" s="11">
        <v>150</v>
      </c>
      <c r="F50" s="11">
        <v>170</v>
      </c>
      <c r="G50" s="13">
        <v>0.5</v>
      </c>
      <c r="H50" s="11" t="s">
        <v>127</v>
      </c>
      <c r="I50" s="11" t="s">
        <v>128</v>
      </c>
      <c r="J50" s="11">
        <v>1</v>
      </c>
      <c r="K50" s="13">
        <v>-49.5</v>
      </c>
      <c r="L50" s="11">
        <v>0</v>
      </c>
      <c r="M50" s="11" t="s">
        <v>52</v>
      </c>
      <c r="N50" s="11"/>
      <c r="O50" s="14">
        <v>0</v>
      </c>
    </row>
    <row r="51" spans="1:15" ht="18" customHeight="1" x14ac:dyDescent="0.25">
      <c r="A51" s="11" t="s">
        <v>221</v>
      </c>
      <c r="B51" s="11">
        <v>50</v>
      </c>
      <c r="C51" s="11">
        <v>16</v>
      </c>
      <c r="D51" s="12" t="s">
        <v>271</v>
      </c>
      <c r="E51" s="11">
        <v>150</v>
      </c>
      <c r="F51" s="11">
        <v>170</v>
      </c>
      <c r="G51" s="13">
        <v>1</v>
      </c>
      <c r="H51" s="11" t="s">
        <v>127</v>
      </c>
      <c r="I51" s="11" t="s">
        <v>128</v>
      </c>
      <c r="J51" s="11">
        <v>1</v>
      </c>
      <c r="K51" s="13">
        <v>-62</v>
      </c>
      <c r="L51" s="11">
        <v>0</v>
      </c>
      <c r="M51" s="11" t="s">
        <v>52</v>
      </c>
      <c r="N51" s="11"/>
      <c r="O51" s="14">
        <v>0</v>
      </c>
    </row>
    <row r="52" spans="1:15" ht="18" customHeight="1" x14ac:dyDescent="0.25">
      <c r="A52" s="11" t="s">
        <v>221</v>
      </c>
      <c r="B52" s="11">
        <v>51</v>
      </c>
      <c r="C52" s="11">
        <v>16</v>
      </c>
      <c r="D52" s="12" t="s">
        <v>272</v>
      </c>
      <c r="E52" s="11">
        <v>150</v>
      </c>
      <c r="F52" s="11">
        <v>170</v>
      </c>
      <c r="G52" s="13">
        <v>1.5</v>
      </c>
      <c r="H52" s="11" t="s">
        <v>127</v>
      </c>
      <c r="I52" s="11" t="s">
        <v>128</v>
      </c>
      <c r="J52" s="11">
        <v>1</v>
      </c>
      <c r="K52" s="13">
        <v>-72</v>
      </c>
      <c r="L52" s="11">
        <v>0</v>
      </c>
      <c r="M52" s="11" t="s">
        <v>52</v>
      </c>
      <c r="N52" s="11"/>
      <c r="O52" s="14">
        <v>0</v>
      </c>
    </row>
    <row r="53" spans="1:15" ht="18" customHeight="1" x14ac:dyDescent="0.25">
      <c r="A53" s="11" t="s">
        <v>221</v>
      </c>
      <c r="B53" s="11">
        <v>52</v>
      </c>
      <c r="C53" s="11">
        <v>16</v>
      </c>
      <c r="D53" s="12" t="s">
        <v>273</v>
      </c>
      <c r="E53" s="11">
        <v>150</v>
      </c>
      <c r="F53" s="11">
        <v>170</v>
      </c>
      <c r="G53" s="13">
        <v>2</v>
      </c>
      <c r="H53" s="11" t="s">
        <v>127</v>
      </c>
      <c r="I53" s="11" t="s">
        <v>128</v>
      </c>
      <c r="J53" s="11">
        <v>1</v>
      </c>
      <c r="K53" s="13">
        <v>-73.5</v>
      </c>
      <c r="L53" s="11">
        <v>0</v>
      </c>
      <c r="M53" s="11" t="s">
        <v>52</v>
      </c>
      <c r="N53" s="11"/>
      <c r="O53" s="14">
        <v>0</v>
      </c>
    </row>
    <row r="54" spans="1:15" ht="18" customHeight="1" x14ac:dyDescent="0.25">
      <c r="A54" s="11" t="s">
        <v>221</v>
      </c>
      <c r="B54" s="11">
        <v>53</v>
      </c>
      <c r="C54" s="11">
        <v>16</v>
      </c>
      <c r="D54" s="12" t="s">
        <v>274</v>
      </c>
      <c r="E54" s="11">
        <v>150</v>
      </c>
      <c r="F54" s="11">
        <v>170</v>
      </c>
      <c r="G54" s="13">
        <v>2.5</v>
      </c>
      <c r="H54" s="11" t="s">
        <v>127</v>
      </c>
      <c r="I54" s="11"/>
      <c r="J54" s="11">
        <v>0</v>
      </c>
      <c r="K54" s="13"/>
      <c r="L54" s="11">
        <v>0</v>
      </c>
      <c r="M54" s="11" t="s">
        <v>52</v>
      </c>
      <c r="N54" s="11"/>
      <c r="O54" s="14">
        <v>1</v>
      </c>
    </row>
    <row r="55" spans="1:15" ht="18" customHeight="1" x14ac:dyDescent="0.25">
      <c r="A55" s="11" t="s">
        <v>221</v>
      </c>
      <c r="B55" s="11">
        <v>54</v>
      </c>
      <c r="C55" s="11">
        <v>16</v>
      </c>
      <c r="D55" s="12" t="s">
        <v>275</v>
      </c>
      <c r="E55" s="11">
        <v>150</v>
      </c>
      <c r="F55" s="11">
        <v>170</v>
      </c>
      <c r="G55" s="13">
        <v>3</v>
      </c>
      <c r="H55" s="11" t="s">
        <v>127</v>
      </c>
      <c r="I55" s="11"/>
      <c r="J55" s="11">
        <v>0</v>
      </c>
      <c r="K55" s="13"/>
      <c r="L55" s="11">
        <v>0</v>
      </c>
      <c r="M55" s="11" t="s">
        <v>52</v>
      </c>
      <c r="N55" s="11"/>
      <c r="O55" s="14">
        <v>1</v>
      </c>
    </row>
    <row r="56" spans="1:15" ht="18" customHeight="1" x14ac:dyDescent="0.25">
      <c r="A56" s="11" t="s">
        <v>221</v>
      </c>
      <c r="B56" s="11">
        <v>55</v>
      </c>
      <c r="C56" s="11">
        <v>16</v>
      </c>
      <c r="D56" s="12" t="s">
        <v>276</v>
      </c>
      <c r="E56" s="11">
        <v>150</v>
      </c>
      <c r="F56" s="11">
        <v>170</v>
      </c>
      <c r="G56" s="13">
        <v>3.5</v>
      </c>
      <c r="H56" s="11" t="s">
        <v>127</v>
      </c>
      <c r="I56" s="11"/>
      <c r="J56" s="11">
        <v>0</v>
      </c>
      <c r="K56" s="13"/>
      <c r="L56" s="11">
        <v>0</v>
      </c>
      <c r="M56" s="11" t="s">
        <v>52</v>
      </c>
      <c r="N56" s="11"/>
      <c r="O56" s="14">
        <v>1</v>
      </c>
    </row>
    <row r="57" spans="1:15" ht="18" customHeight="1" x14ac:dyDescent="0.25">
      <c r="A57" s="11" t="s">
        <v>221</v>
      </c>
      <c r="B57" s="11">
        <v>56</v>
      </c>
      <c r="C57" s="11">
        <v>16</v>
      </c>
      <c r="D57" s="12" t="s">
        <v>277</v>
      </c>
      <c r="E57" s="11">
        <v>150</v>
      </c>
      <c r="F57" s="11">
        <v>170</v>
      </c>
      <c r="G57" s="13">
        <v>4</v>
      </c>
      <c r="H57" s="11" t="s">
        <v>127</v>
      </c>
      <c r="I57" s="11"/>
      <c r="J57" s="11">
        <v>0</v>
      </c>
      <c r="K57" s="13"/>
      <c r="L57" s="11">
        <v>0</v>
      </c>
      <c r="M57" s="11" t="s">
        <v>52</v>
      </c>
      <c r="N57" s="11"/>
      <c r="O57" s="14">
        <v>1</v>
      </c>
    </row>
    <row r="58" spans="1:15" ht="18" customHeight="1" x14ac:dyDescent="0.25">
      <c r="A58" s="11" t="s">
        <v>221</v>
      </c>
      <c r="B58" s="11">
        <v>57</v>
      </c>
      <c r="C58" s="11">
        <v>16</v>
      </c>
      <c r="D58" s="12" t="s">
        <v>278</v>
      </c>
      <c r="E58" s="11">
        <v>150</v>
      </c>
      <c r="F58" s="11">
        <v>180</v>
      </c>
      <c r="G58" s="13">
        <v>0.5</v>
      </c>
      <c r="H58" s="11" t="s">
        <v>131</v>
      </c>
      <c r="I58" s="11" t="s">
        <v>132</v>
      </c>
      <c r="J58" s="11">
        <v>1</v>
      </c>
      <c r="K58" s="13">
        <v>-44.5</v>
      </c>
      <c r="L58" s="11">
        <v>0</v>
      </c>
      <c r="M58" s="11" t="s">
        <v>48</v>
      </c>
      <c r="N58" s="11"/>
      <c r="O58" s="14">
        <v>0</v>
      </c>
    </row>
    <row r="59" spans="1:15" ht="18" customHeight="1" x14ac:dyDescent="0.25">
      <c r="A59" s="11" t="s">
        <v>221</v>
      </c>
      <c r="B59" s="11">
        <v>58</v>
      </c>
      <c r="C59" s="11">
        <v>16</v>
      </c>
      <c r="D59" s="12" t="s">
        <v>279</v>
      </c>
      <c r="E59" s="11">
        <v>150</v>
      </c>
      <c r="F59" s="11">
        <v>180</v>
      </c>
      <c r="G59" s="13">
        <v>1</v>
      </c>
      <c r="H59" s="11" t="s">
        <v>131</v>
      </c>
      <c r="I59" s="11" t="s">
        <v>132</v>
      </c>
      <c r="J59" s="11">
        <v>1</v>
      </c>
      <c r="K59" s="13">
        <v>-57</v>
      </c>
      <c r="L59" s="11">
        <v>0</v>
      </c>
      <c r="M59" s="11" t="s">
        <v>48</v>
      </c>
      <c r="N59" s="11"/>
      <c r="O59" s="14">
        <v>0</v>
      </c>
    </row>
    <row r="60" spans="1:15" ht="18" customHeight="1" x14ac:dyDescent="0.25">
      <c r="A60" s="11" t="s">
        <v>221</v>
      </c>
      <c r="B60" s="11">
        <v>59</v>
      </c>
      <c r="C60" s="11">
        <v>16</v>
      </c>
      <c r="D60" s="12" t="s">
        <v>280</v>
      </c>
      <c r="E60" s="11">
        <v>150</v>
      </c>
      <c r="F60" s="11">
        <v>180</v>
      </c>
      <c r="G60" s="13">
        <v>1.5</v>
      </c>
      <c r="H60" s="11" t="s">
        <v>131</v>
      </c>
      <c r="I60" s="11" t="s">
        <v>132</v>
      </c>
      <c r="J60" s="11">
        <v>1</v>
      </c>
      <c r="K60" s="13">
        <v>-62.5</v>
      </c>
      <c r="L60" s="11">
        <v>0</v>
      </c>
      <c r="M60" s="11" t="s">
        <v>48</v>
      </c>
      <c r="N60" s="11"/>
      <c r="O60" s="14">
        <v>0</v>
      </c>
    </row>
    <row r="61" spans="1:15" ht="18" customHeight="1" x14ac:dyDescent="0.25">
      <c r="A61" s="11" t="s">
        <v>221</v>
      </c>
      <c r="B61" s="11">
        <v>60</v>
      </c>
      <c r="C61" s="11">
        <v>16</v>
      </c>
      <c r="D61" s="12" t="s">
        <v>281</v>
      </c>
      <c r="E61" s="11">
        <v>150</v>
      </c>
      <c r="F61" s="11">
        <v>180</v>
      </c>
      <c r="G61" s="13">
        <v>2</v>
      </c>
      <c r="H61" s="11" t="s">
        <v>131</v>
      </c>
      <c r="I61" s="11" t="s">
        <v>132</v>
      </c>
      <c r="J61" s="11">
        <v>1</v>
      </c>
      <c r="K61" s="13">
        <v>-67.5</v>
      </c>
      <c r="L61" s="11">
        <v>0</v>
      </c>
      <c r="M61" s="11" t="s">
        <v>48</v>
      </c>
      <c r="N61" s="11"/>
      <c r="O61" s="14">
        <v>0</v>
      </c>
    </row>
    <row r="62" spans="1:15" ht="18" customHeight="1" x14ac:dyDescent="0.25">
      <c r="A62" s="11" t="s">
        <v>221</v>
      </c>
      <c r="B62" s="11">
        <v>61</v>
      </c>
      <c r="C62" s="11">
        <v>16</v>
      </c>
      <c r="D62" s="12" t="s">
        <v>282</v>
      </c>
      <c r="E62" s="11">
        <v>150</v>
      </c>
      <c r="F62" s="11">
        <v>180</v>
      </c>
      <c r="G62" s="13">
        <v>2.5</v>
      </c>
      <c r="H62" s="11" t="s">
        <v>131</v>
      </c>
      <c r="I62" s="11" t="s">
        <v>132</v>
      </c>
      <c r="J62" s="11">
        <v>1</v>
      </c>
      <c r="K62" s="13">
        <v>-71</v>
      </c>
      <c r="L62" s="11">
        <v>0</v>
      </c>
      <c r="M62" s="11" t="s">
        <v>48</v>
      </c>
      <c r="N62" s="11"/>
      <c r="O62" s="14">
        <v>0</v>
      </c>
    </row>
    <row r="63" spans="1:15" ht="18" customHeight="1" x14ac:dyDescent="0.25">
      <c r="A63" s="11" t="s">
        <v>221</v>
      </c>
      <c r="B63" s="11">
        <v>62</v>
      </c>
      <c r="C63" s="11">
        <v>16</v>
      </c>
      <c r="D63" s="12" t="s">
        <v>283</v>
      </c>
      <c r="E63" s="11">
        <v>150</v>
      </c>
      <c r="F63" s="11">
        <v>180</v>
      </c>
      <c r="G63" s="13">
        <v>3</v>
      </c>
      <c r="H63" s="11" t="s">
        <v>131</v>
      </c>
      <c r="I63" s="11" t="s">
        <v>132</v>
      </c>
      <c r="J63" s="11">
        <v>1</v>
      </c>
      <c r="K63" s="13">
        <v>-72.5</v>
      </c>
      <c r="L63" s="11">
        <v>0</v>
      </c>
      <c r="M63" s="11" t="s">
        <v>48</v>
      </c>
      <c r="N63" s="11"/>
      <c r="O63" s="14">
        <v>0</v>
      </c>
    </row>
    <row r="64" spans="1:15" ht="18" customHeight="1" x14ac:dyDescent="0.25">
      <c r="A64" s="11" t="s">
        <v>221</v>
      </c>
      <c r="B64" s="11">
        <v>63</v>
      </c>
      <c r="C64" s="11">
        <v>16</v>
      </c>
      <c r="D64" s="12" t="s">
        <v>284</v>
      </c>
      <c r="E64" s="11">
        <v>150</v>
      </c>
      <c r="F64" s="11">
        <v>180</v>
      </c>
      <c r="G64" s="13">
        <v>3.5</v>
      </c>
      <c r="H64" s="11" t="s">
        <v>131</v>
      </c>
      <c r="I64" s="11"/>
      <c r="J64" s="11">
        <v>0</v>
      </c>
      <c r="K64" s="13"/>
      <c r="L64" s="11">
        <v>0</v>
      </c>
      <c r="M64" s="11" t="s">
        <v>48</v>
      </c>
      <c r="N64" s="11"/>
      <c r="O64" s="14">
        <v>1</v>
      </c>
    </row>
    <row r="65" spans="1:15" ht="18" customHeight="1" x14ac:dyDescent="0.25">
      <c r="A65" s="11" t="s">
        <v>221</v>
      </c>
      <c r="B65" s="11">
        <v>64</v>
      </c>
      <c r="C65" s="11">
        <v>16</v>
      </c>
      <c r="D65" s="12" t="s">
        <v>285</v>
      </c>
      <c r="E65" s="11">
        <v>150</v>
      </c>
      <c r="F65" s="11">
        <v>180</v>
      </c>
      <c r="G65" s="13">
        <v>4</v>
      </c>
      <c r="H65" s="11" t="s">
        <v>131</v>
      </c>
      <c r="I65" s="11"/>
      <c r="J65" s="11">
        <v>0</v>
      </c>
      <c r="K65" s="13"/>
      <c r="L65" s="11">
        <v>0</v>
      </c>
      <c r="M65" s="11" t="s">
        <v>48</v>
      </c>
      <c r="N65" s="11"/>
      <c r="O65" s="14">
        <v>1</v>
      </c>
    </row>
    <row r="66" spans="1:15" ht="18" customHeight="1" x14ac:dyDescent="0.25">
      <c r="A66" s="11" t="s">
        <v>221</v>
      </c>
      <c r="B66" s="11">
        <v>65</v>
      </c>
      <c r="C66" s="11">
        <v>16</v>
      </c>
      <c r="D66" s="12" t="s">
        <v>286</v>
      </c>
      <c r="E66" s="11">
        <v>150</v>
      </c>
      <c r="F66" s="11">
        <v>190</v>
      </c>
      <c r="G66" s="13">
        <v>0.5</v>
      </c>
      <c r="H66" s="11" t="s">
        <v>134</v>
      </c>
      <c r="I66" s="11" t="s">
        <v>135</v>
      </c>
      <c r="J66" s="11">
        <v>1</v>
      </c>
      <c r="K66" s="13">
        <v>-44.5</v>
      </c>
      <c r="L66" s="11">
        <v>0</v>
      </c>
      <c r="M66" s="11" t="s">
        <v>49</v>
      </c>
      <c r="N66" s="11"/>
      <c r="O66" s="14">
        <v>0</v>
      </c>
    </row>
    <row r="67" spans="1:15" ht="18" customHeight="1" x14ac:dyDescent="0.25">
      <c r="A67" s="11" t="s">
        <v>221</v>
      </c>
      <c r="B67" s="11">
        <v>66</v>
      </c>
      <c r="C67" s="11">
        <v>16</v>
      </c>
      <c r="D67" s="12" t="s">
        <v>287</v>
      </c>
      <c r="E67" s="11">
        <v>150</v>
      </c>
      <c r="F67" s="11">
        <v>190</v>
      </c>
      <c r="G67" s="13">
        <v>1</v>
      </c>
      <c r="H67" s="11" t="s">
        <v>134</v>
      </c>
      <c r="I67" s="11"/>
      <c r="J67" s="11">
        <v>0</v>
      </c>
      <c r="K67" s="13"/>
      <c r="L67" s="11">
        <v>0</v>
      </c>
      <c r="M67" s="11" t="s">
        <v>49</v>
      </c>
      <c r="N67" s="11"/>
      <c r="O67" s="14">
        <v>1</v>
      </c>
    </row>
    <row r="68" spans="1:15" ht="18" customHeight="1" x14ac:dyDescent="0.25">
      <c r="A68" s="11" t="s">
        <v>221</v>
      </c>
      <c r="B68" s="11">
        <v>67</v>
      </c>
      <c r="C68" s="11">
        <v>16</v>
      </c>
      <c r="D68" s="12" t="s">
        <v>288</v>
      </c>
      <c r="E68" s="11">
        <v>150</v>
      </c>
      <c r="F68" s="11">
        <v>190</v>
      </c>
      <c r="G68" s="13">
        <v>1.5</v>
      </c>
      <c r="H68" s="11" t="s">
        <v>134</v>
      </c>
      <c r="I68" s="11" t="s">
        <v>135</v>
      </c>
      <c r="J68" s="11">
        <v>1</v>
      </c>
      <c r="K68" s="13">
        <v>-62.5</v>
      </c>
      <c r="L68" s="11">
        <v>0</v>
      </c>
      <c r="M68" s="11" t="s">
        <v>49</v>
      </c>
      <c r="N68" s="11"/>
      <c r="O68" s="14">
        <v>0</v>
      </c>
    </row>
    <row r="69" spans="1:15" ht="18" customHeight="1" x14ac:dyDescent="0.25">
      <c r="A69" s="11" t="s">
        <v>221</v>
      </c>
      <c r="B69" s="11">
        <v>68</v>
      </c>
      <c r="C69" s="11">
        <v>16</v>
      </c>
      <c r="D69" s="12" t="s">
        <v>289</v>
      </c>
      <c r="E69" s="11">
        <v>150</v>
      </c>
      <c r="F69" s="11">
        <v>190</v>
      </c>
      <c r="G69" s="13">
        <v>2</v>
      </c>
      <c r="H69" s="11" t="s">
        <v>134</v>
      </c>
      <c r="I69" s="11" t="s">
        <v>135</v>
      </c>
      <c r="J69" s="11">
        <v>1</v>
      </c>
      <c r="K69" s="13">
        <v>-66.5</v>
      </c>
      <c r="L69" s="11">
        <v>0</v>
      </c>
      <c r="M69" s="11" t="s">
        <v>49</v>
      </c>
      <c r="N69" s="11"/>
      <c r="O69" s="14">
        <v>0</v>
      </c>
    </row>
    <row r="70" spans="1:15" ht="18" customHeight="1" x14ac:dyDescent="0.25">
      <c r="A70" s="11" t="s">
        <v>221</v>
      </c>
      <c r="B70" s="11">
        <v>69</v>
      </c>
      <c r="C70" s="11">
        <v>16</v>
      </c>
      <c r="D70" s="12" t="s">
        <v>290</v>
      </c>
      <c r="E70" s="11">
        <v>150</v>
      </c>
      <c r="F70" s="11">
        <v>190</v>
      </c>
      <c r="G70" s="13">
        <v>2.5</v>
      </c>
      <c r="H70" s="11" t="s">
        <v>134</v>
      </c>
      <c r="I70" s="11" t="s">
        <v>135</v>
      </c>
      <c r="J70" s="11">
        <v>1</v>
      </c>
      <c r="K70" s="13">
        <v>-70.5</v>
      </c>
      <c r="L70" s="11">
        <v>0</v>
      </c>
      <c r="M70" s="11" t="s">
        <v>49</v>
      </c>
      <c r="N70" s="11"/>
      <c r="O70" s="14">
        <v>0</v>
      </c>
    </row>
    <row r="71" spans="1:15" ht="18" customHeight="1" x14ac:dyDescent="0.25">
      <c r="A71" s="11" t="s">
        <v>221</v>
      </c>
      <c r="B71" s="11">
        <v>70</v>
      </c>
      <c r="C71" s="11">
        <v>16</v>
      </c>
      <c r="D71" s="12" t="s">
        <v>291</v>
      </c>
      <c r="E71" s="11">
        <v>150</v>
      </c>
      <c r="F71" s="11">
        <v>190</v>
      </c>
      <c r="G71" s="13">
        <v>3</v>
      </c>
      <c r="H71" s="11" t="s">
        <v>134</v>
      </c>
      <c r="I71" s="11" t="s">
        <v>135</v>
      </c>
      <c r="J71" s="11">
        <v>1</v>
      </c>
      <c r="K71" s="13">
        <v>-76</v>
      </c>
      <c r="L71" s="11">
        <v>0</v>
      </c>
      <c r="M71" s="11" t="s">
        <v>49</v>
      </c>
      <c r="N71" s="11"/>
      <c r="O71" s="14">
        <v>0</v>
      </c>
    </row>
    <row r="72" spans="1:15" ht="18" customHeight="1" x14ac:dyDescent="0.25">
      <c r="A72" s="11" t="s">
        <v>221</v>
      </c>
      <c r="B72" s="11">
        <v>71</v>
      </c>
      <c r="C72" s="11">
        <v>16</v>
      </c>
      <c r="D72" s="12" t="s">
        <v>292</v>
      </c>
      <c r="E72" s="11">
        <v>150</v>
      </c>
      <c r="F72" s="11">
        <v>190</v>
      </c>
      <c r="G72" s="13">
        <v>3.5</v>
      </c>
      <c r="H72" s="11" t="s">
        <v>134</v>
      </c>
      <c r="I72" s="11"/>
      <c r="J72" s="11">
        <v>0</v>
      </c>
      <c r="K72" s="13"/>
      <c r="L72" s="11">
        <v>0</v>
      </c>
      <c r="M72" s="11" t="s">
        <v>49</v>
      </c>
      <c r="N72" s="11"/>
      <c r="O72" s="14">
        <v>1</v>
      </c>
    </row>
    <row r="73" spans="1:15" ht="18" customHeight="1" x14ac:dyDescent="0.25">
      <c r="A73" s="11" t="s">
        <v>221</v>
      </c>
      <c r="B73" s="11">
        <v>72</v>
      </c>
      <c r="C73" s="11">
        <v>16</v>
      </c>
      <c r="D73" s="12" t="s">
        <v>293</v>
      </c>
      <c r="E73" s="11">
        <v>150</v>
      </c>
      <c r="F73" s="11">
        <v>190</v>
      </c>
      <c r="G73" s="13">
        <v>4</v>
      </c>
      <c r="H73" s="11" t="s">
        <v>134</v>
      </c>
      <c r="I73" s="11"/>
      <c r="J73" s="11">
        <v>0</v>
      </c>
      <c r="K73" s="13"/>
      <c r="L73" s="11">
        <v>0</v>
      </c>
      <c r="M73" s="11" t="s">
        <v>49</v>
      </c>
      <c r="N73" s="11"/>
      <c r="O73" s="14">
        <v>1</v>
      </c>
    </row>
    <row r="74" spans="1:15" ht="18" customHeight="1" x14ac:dyDescent="0.25">
      <c r="A74" s="11" t="s">
        <v>221</v>
      </c>
      <c r="B74" s="11">
        <v>73</v>
      </c>
      <c r="C74" s="11">
        <v>16</v>
      </c>
      <c r="D74" s="12" t="s">
        <v>294</v>
      </c>
      <c r="E74" s="11">
        <v>150</v>
      </c>
      <c r="F74" s="11">
        <v>200</v>
      </c>
      <c r="G74" s="13">
        <v>0.5</v>
      </c>
      <c r="H74" s="11" t="s">
        <v>137</v>
      </c>
      <c r="I74" s="11" t="s">
        <v>138</v>
      </c>
      <c r="J74" s="11">
        <v>1</v>
      </c>
      <c r="K74" s="13">
        <v>-55</v>
      </c>
      <c r="L74" s="11">
        <v>0</v>
      </c>
      <c r="M74" s="11" t="s">
        <v>52</v>
      </c>
      <c r="N74" s="11"/>
      <c r="O74" s="14">
        <v>0</v>
      </c>
    </row>
    <row r="75" spans="1:15" ht="18" customHeight="1" x14ac:dyDescent="0.25">
      <c r="A75" s="11" t="s">
        <v>221</v>
      </c>
      <c r="B75" s="11">
        <v>74</v>
      </c>
      <c r="C75" s="11">
        <v>16</v>
      </c>
      <c r="D75" s="12" t="s">
        <v>295</v>
      </c>
      <c r="E75" s="11">
        <v>150</v>
      </c>
      <c r="F75" s="11">
        <v>200</v>
      </c>
      <c r="G75" s="13">
        <v>1</v>
      </c>
      <c r="H75" s="11" t="s">
        <v>137</v>
      </c>
      <c r="I75" s="11" t="s">
        <v>138</v>
      </c>
      <c r="J75" s="11">
        <v>1</v>
      </c>
      <c r="K75" s="13">
        <v>-63</v>
      </c>
      <c r="L75" s="11">
        <v>0</v>
      </c>
      <c r="M75" s="11" t="s">
        <v>52</v>
      </c>
      <c r="N75" s="11"/>
      <c r="O75" s="14">
        <v>0</v>
      </c>
    </row>
    <row r="76" spans="1:15" ht="18" customHeight="1" x14ac:dyDescent="0.25">
      <c r="A76" s="11" t="s">
        <v>221</v>
      </c>
      <c r="B76" s="11">
        <v>75</v>
      </c>
      <c r="C76" s="11">
        <v>16</v>
      </c>
      <c r="D76" s="12" t="s">
        <v>296</v>
      </c>
      <c r="E76" s="11">
        <v>150</v>
      </c>
      <c r="F76" s="11">
        <v>200</v>
      </c>
      <c r="G76" s="13">
        <v>1.5</v>
      </c>
      <c r="H76" s="11" t="s">
        <v>137</v>
      </c>
      <c r="I76" s="11" t="s">
        <v>138</v>
      </c>
      <c r="J76" s="11">
        <v>1</v>
      </c>
      <c r="K76" s="13">
        <v>-73</v>
      </c>
      <c r="L76" s="11">
        <v>0</v>
      </c>
      <c r="M76" s="11" t="s">
        <v>52</v>
      </c>
      <c r="N76" s="11"/>
      <c r="O76" s="14">
        <v>0</v>
      </c>
    </row>
    <row r="77" spans="1:15" ht="18" customHeight="1" x14ac:dyDescent="0.25">
      <c r="A77" s="11" t="s">
        <v>221</v>
      </c>
      <c r="B77" s="11">
        <v>76</v>
      </c>
      <c r="C77" s="11">
        <v>16</v>
      </c>
      <c r="D77" s="12" t="s">
        <v>297</v>
      </c>
      <c r="E77" s="11">
        <v>150</v>
      </c>
      <c r="F77" s="11">
        <v>200</v>
      </c>
      <c r="G77" s="13">
        <v>2</v>
      </c>
      <c r="H77" s="11" t="s">
        <v>137</v>
      </c>
      <c r="I77" s="11" t="s">
        <v>138</v>
      </c>
      <c r="J77" s="11">
        <v>1</v>
      </c>
      <c r="K77" s="13">
        <v>-74</v>
      </c>
      <c r="L77" s="11">
        <v>0</v>
      </c>
      <c r="M77" s="11" t="s">
        <v>52</v>
      </c>
      <c r="N77" s="11"/>
      <c r="O77" s="14">
        <v>0</v>
      </c>
    </row>
    <row r="78" spans="1:15" ht="18" customHeight="1" x14ac:dyDescent="0.25">
      <c r="A78" s="11" t="s">
        <v>221</v>
      </c>
      <c r="B78" s="11">
        <v>77</v>
      </c>
      <c r="C78" s="11">
        <v>16</v>
      </c>
      <c r="D78" s="12" t="s">
        <v>298</v>
      </c>
      <c r="E78" s="11">
        <v>150</v>
      </c>
      <c r="F78" s="11">
        <v>200</v>
      </c>
      <c r="G78" s="13">
        <v>2.5</v>
      </c>
      <c r="H78" s="11" t="s">
        <v>137</v>
      </c>
      <c r="I78" s="11"/>
      <c r="J78" s="11">
        <v>0</v>
      </c>
      <c r="K78" s="13"/>
      <c r="L78" s="11">
        <v>0</v>
      </c>
      <c r="M78" s="11" t="s">
        <v>52</v>
      </c>
      <c r="N78" s="11"/>
      <c r="O78" s="14">
        <v>1</v>
      </c>
    </row>
    <row r="79" spans="1:15" ht="18" customHeight="1" x14ac:dyDescent="0.25">
      <c r="A79" s="11" t="s">
        <v>221</v>
      </c>
      <c r="B79" s="11">
        <v>78</v>
      </c>
      <c r="C79" s="11">
        <v>16</v>
      </c>
      <c r="D79" s="12" t="s">
        <v>299</v>
      </c>
      <c r="E79" s="11">
        <v>150</v>
      </c>
      <c r="F79" s="11">
        <v>200</v>
      </c>
      <c r="G79" s="13">
        <v>3</v>
      </c>
      <c r="H79" s="11" t="s">
        <v>137</v>
      </c>
      <c r="I79" s="11"/>
      <c r="J79" s="11">
        <v>0</v>
      </c>
      <c r="K79" s="13"/>
      <c r="L79" s="11">
        <v>0</v>
      </c>
      <c r="M79" s="11" t="s">
        <v>52</v>
      </c>
      <c r="N79" s="11"/>
      <c r="O79" s="14">
        <v>1</v>
      </c>
    </row>
    <row r="80" spans="1:15" ht="18" customHeight="1" x14ac:dyDescent="0.25">
      <c r="A80" s="11" t="s">
        <v>221</v>
      </c>
      <c r="B80" s="11">
        <v>79</v>
      </c>
      <c r="C80" s="11">
        <v>16</v>
      </c>
      <c r="D80" s="12" t="s">
        <v>300</v>
      </c>
      <c r="E80" s="11">
        <v>150</v>
      </c>
      <c r="F80" s="11">
        <v>200</v>
      </c>
      <c r="G80" s="13">
        <v>3.5</v>
      </c>
      <c r="H80" s="11" t="s">
        <v>137</v>
      </c>
      <c r="I80" s="11"/>
      <c r="J80" s="11">
        <v>0</v>
      </c>
      <c r="K80" s="13"/>
      <c r="L80" s="11">
        <v>0</v>
      </c>
      <c r="M80" s="11" t="s">
        <v>52</v>
      </c>
      <c r="N80" s="11"/>
      <c r="O80" s="14">
        <v>1</v>
      </c>
    </row>
    <row r="81" spans="1:15" ht="18" customHeight="1" x14ac:dyDescent="0.25">
      <c r="A81" s="11" t="s">
        <v>221</v>
      </c>
      <c r="B81" s="11">
        <v>80</v>
      </c>
      <c r="C81" s="11">
        <v>16</v>
      </c>
      <c r="D81" s="12" t="s">
        <v>301</v>
      </c>
      <c r="E81" s="11">
        <v>150</v>
      </c>
      <c r="F81" s="11">
        <v>200</v>
      </c>
      <c r="G81" s="13">
        <v>4</v>
      </c>
      <c r="H81" s="11" t="s">
        <v>137</v>
      </c>
      <c r="I81" s="11"/>
      <c r="J81" s="11">
        <v>0</v>
      </c>
      <c r="K81" s="13"/>
      <c r="L81" s="11">
        <v>0</v>
      </c>
      <c r="M81" s="11" t="s">
        <v>52</v>
      </c>
      <c r="N81" s="11"/>
      <c r="O81" s="14">
        <v>1</v>
      </c>
    </row>
    <row r="82" spans="1:15" ht="18" customHeight="1" x14ac:dyDescent="0.25">
      <c r="A82" s="11" t="s">
        <v>221</v>
      </c>
      <c r="B82" s="11">
        <v>81</v>
      </c>
      <c r="C82" s="11">
        <v>16</v>
      </c>
      <c r="D82" s="12" t="s">
        <v>302</v>
      </c>
      <c r="E82" s="11">
        <v>150</v>
      </c>
      <c r="F82" s="11">
        <v>210</v>
      </c>
      <c r="G82" s="13">
        <v>0.5</v>
      </c>
      <c r="H82" s="11" t="s">
        <v>140</v>
      </c>
      <c r="I82" s="11" t="s">
        <v>141</v>
      </c>
      <c r="J82" s="11">
        <v>1</v>
      </c>
      <c r="K82" s="13">
        <v>-51.5</v>
      </c>
      <c r="L82" s="11">
        <v>0</v>
      </c>
      <c r="M82" s="11" t="s">
        <v>49</v>
      </c>
      <c r="N82" s="11"/>
      <c r="O82" s="14">
        <v>0</v>
      </c>
    </row>
    <row r="83" spans="1:15" ht="18" customHeight="1" x14ac:dyDescent="0.25">
      <c r="A83" s="11" t="s">
        <v>221</v>
      </c>
      <c r="B83" s="11">
        <v>82</v>
      </c>
      <c r="C83" s="11">
        <v>16</v>
      </c>
      <c r="D83" s="12" t="s">
        <v>303</v>
      </c>
      <c r="E83" s="11">
        <v>150</v>
      </c>
      <c r="F83" s="11">
        <v>210</v>
      </c>
      <c r="G83" s="13">
        <v>1</v>
      </c>
      <c r="H83" s="11" t="s">
        <v>140</v>
      </c>
      <c r="I83" s="11" t="s">
        <v>141</v>
      </c>
      <c r="J83" s="11">
        <v>1</v>
      </c>
      <c r="K83" s="13">
        <v>-63.5</v>
      </c>
      <c r="L83" s="11">
        <v>0</v>
      </c>
      <c r="M83" s="11" t="s">
        <v>49</v>
      </c>
      <c r="N83" s="11"/>
      <c r="O83" s="14">
        <v>0</v>
      </c>
    </row>
    <row r="84" spans="1:15" ht="18" customHeight="1" x14ac:dyDescent="0.25">
      <c r="A84" s="11" t="s">
        <v>221</v>
      </c>
      <c r="B84" s="11">
        <v>83</v>
      </c>
      <c r="C84" s="11">
        <v>16</v>
      </c>
      <c r="D84" s="12" t="s">
        <v>304</v>
      </c>
      <c r="E84" s="11">
        <v>150</v>
      </c>
      <c r="F84" s="11">
        <v>210</v>
      </c>
      <c r="G84" s="13">
        <v>1.5</v>
      </c>
      <c r="H84" s="11" t="s">
        <v>140</v>
      </c>
      <c r="I84" s="11" t="s">
        <v>141</v>
      </c>
      <c r="J84" s="11">
        <v>1</v>
      </c>
      <c r="K84" s="13">
        <v>-68</v>
      </c>
      <c r="L84" s="11">
        <v>0</v>
      </c>
      <c r="M84" s="11" t="s">
        <v>49</v>
      </c>
      <c r="N84" s="11"/>
      <c r="O84" s="14">
        <v>0</v>
      </c>
    </row>
    <row r="85" spans="1:15" ht="18" customHeight="1" x14ac:dyDescent="0.25">
      <c r="A85" s="11" t="s">
        <v>221</v>
      </c>
      <c r="B85" s="11">
        <v>84</v>
      </c>
      <c r="C85" s="11">
        <v>16</v>
      </c>
      <c r="D85" s="12" t="s">
        <v>305</v>
      </c>
      <c r="E85" s="11">
        <v>150</v>
      </c>
      <c r="F85" s="11">
        <v>210</v>
      </c>
      <c r="G85" s="13">
        <v>2</v>
      </c>
      <c r="H85" s="11" t="s">
        <v>140</v>
      </c>
      <c r="I85" s="11" t="s">
        <v>141</v>
      </c>
      <c r="J85" s="11">
        <v>1</v>
      </c>
      <c r="K85" s="13">
        <v>-69.5</v>
      </c>
      <c r="L85" s="11">
        <v>0</v>
      </c>
      <c r="M85" s="11" t="s">
        <v>49</v>
      </c>
      <c r="N85" s="11"/>
      <c r="O85" s="14">
        <v>0</v>
      </c>
    </row>
    <row r="86" spans="1:15" ht="18" customHeight="1" x14ac:dyDescent="0.25">
      <c r="A86" s="11" t="s">
        <v>221</v>
      </c>
      <c r="B86" s="11">
        <v>85</v>
      </c>
      <c r="C86" s="11">
        <v>16</v>
      </c>
      <c r="D86" s="12" t="s">
        <v>306</v>
      </c>
      <c r="E86" s="11">
        <v>150</v>
      </c>
      <c r="F86" s="11">
        <v>210</v>
      </c>
      <c r="G86" s="13">
        <v>2.5</v>
      </c>
      <c r="H86" s="11" t="s">
        <v>140</v>
      </c>
      <c r="I86" s="11" t="s">
        <v>141</v>
      </c>
      <c r="J86" s="11">
        <v>1</v>
      </c>
      <c r="K86" s="13">
        <v>-71</v>
      </c>
      <c r="L86" s="11">
        <v>0</v>
      </c>
      <c r="M86" s="11" t="s">
        <v>49</v>
      </c>
      <c r="N86" s="11"/>
      <c r="O86" s="14">
        <v>0</v>
      </c>
    </row>
    <row r="87" spans="1:15" ht="18" customHeight="1" x14ac:dyDescent="0.25">
      <c r="A87" s="11" t="s">
        <v>221</v>
      </c>
      <c r="B87" s="11">
        <v>86</v>
      </c>
      <c r="C87" s="11">
        <v>16</v>
      </c>
      <c r="D87" s="12" t="s">
        <v>307</v>
      </c>
      <c r="E87" s="11">
        <v>150</v>
      </c>
      <c r="F87" s="11">
        <v>210</v>
      </c>
      <c r="G87" s="13">
        <v>3</v>
      </c>
      <c r="H87" s="11" t="s">
        <v>140</v>
      </c>
      <c r="I87" s="11"/>
      <c r="J87" s="11">
        <v>0</v>
      </c>
      <c r="K87" s="13"/>
      <c r="L87" s="11">
        <v>0</v>
      </c>
      <c r="M87" s="11" t="s">
        <v>49</v>
      </c>
      <c r="N87" s="11"/>
      <c r="O87" s="14">
        <v>1</v>
      </c>
    </row>
    <row r="88" spans="1:15" ht="18" customHeight="1" x14ac:dyDescent="0.25">
      <c r="A88" s="11" t="s">
        <v>221</v>
      </c>
      <c r="B88" s="11">
        <v>87</v>
      </c>
      <c r="C88" s="11">
        <v>16</v>
      </c>
      <c r="D88" s="12" t="s">
        <v>308</v>
      </c>
      <c r="E88" s="11">
        <v>150</v>
      </c>
      <c r="F88" s="11">
        <v>210</v>
      </c>
      <c r="G88" s="13">
        <v>3.5</v>
      </c>
      <c r="H88" s="11" t="s">
        <v>140</v>
      </c>
      <c r="I88" s="11"/>
      <c r="J88" s="11">
        <v>0</v>
      </c>
      <c r="K88" s="13"/>
      <c r="L88" s="11">
        <v>0</v>
      </c>
      <c r="M88" s="11" t="s">
        <v>49</v>
      </c>
      <c r="N88" s="11"/>
      <c r="O88" s="14">
        <v>1</v>
      </c>
    </row>
    <row r="89" spans="1:15" ht="18" customHeight="1" x14ac:dyDescent="0.25">
      <c r="A89" s="11" t="s">
        <v>221</v>
      </c>
      <c r="B89" s="11">
        <v>88</v>
      </c>
      <c r="C89" s="11">
        <v>16</v>
      </c>
      <c r="D89" s="12" t="s">
        <v>309</v>
      </c>
      <c r="E89" s="11">
        <v>150</v>
      </c>
      <c r="F89" s="11">
        <v>210</v>
      </c>
      <c r="G89" s="13">
        <v>4</v>
      </c>
      <c r="H89" s="11" t="s">
        <v>140</v>
      </c>
      <c r="I89" s="11"/>
      <c r="J89" s="11">
        <v>0</v>
      </c>
      <c r="K89" s="13"/>
      <c r="L89" s="11">
        <v>0</v>
      </c>
      <c r="M89" s="11" t="s">
        <v>49</v>
      </c>
      <c r="N89" s="11"/>
      <c r="O89" s="14">
        <v>1</v>
      </c>
    </row>
    <row r="90" spans="1:15" ht="18" customHeight="1" x14ac:dyDescent="0.25">
      <c r="A90" s="11" t="s">
        <v>221</v>
      </c>
      <c r="B90" s="11">
        <v>89</v>
      </c>
      <c r="C90" s="11">
        <v>16</v>
      </c>
      <c r="D90" s="12" t="s">
        <v>310</v>
      </c>
      <c r="E90" s="11">
        <v>150</v>
      </c>
      <c r="F90" s="11">
        <v>220</v>
      </c>
      <c r="G90" s="13">
        <v>0.5</v>
      </c>
      <c r="H90" s="11" t="s">
        <v>143</v>
      </c>
      <c r="I90" s="11" t="s">
        <v>144</v>
      </c>
      <c r="J90" s="11">
        <v>1</v>
      </c>
      <c r="K90" s="13">
        <v>-58</v>
      </c>
      <c r="L90" s="11">
        <v>0</v>
      </c>
      <c r="M90" s="11" t="s">
        <v>45</v>
      </c>
      <c r="N90" s="11"/>
      <c r="O90" s="14">
        <v>0</v>
      </c>
    </row>
    <row r="91" spans="1:15" ht="18" customHeight="1" x14ac:dyDescent="0.25">
      <c r="A91" s="11" t="s">
        <v>221</v>
      </c>
      <c r="B91" s="11">
        <v>90</v>
      </c>
      <c r="C91" s="11">
        <v>16</v>
      </c>
      <c r="D91" s="12" t="s">
        <v>311</v>
      </c>
      <c r="E91" s="11">
        <v>150</v>
      </c>
      <c r="F91" s="11">
        <v>220</v>
      </c>
      <c r="G91" s="13">
        <v>1</v>
      </c>
      <c r="H91" s="11" t="s">
        <v>143</v>
      </c>
      <c r="I91" s="11" t="s">
        <v>144</v>
      </c>
      <c r="J91" s="11">
        <v>1</v>
      </c>
      <c r="K91" s="13">
        <v>-58.5</v>
      </c>
      <c r="L91" s="11">
        <v>0</v>
      </c>
      <c r="M91" s="11" t="s">
        <v>45</v>
      </c>
      <c r="N91" s="11"/>
      <c r="O91" s="14">
        <v>0</v>
      </c>
    </row>
    <row r="92" spans="1:15" ht="18" customHeight="1" x14ac:dyDescent="0.25">
      <c r="A92" s="11" t="s">
        <v>221</v>
      </c>
      <c r="B92" s="11">
        <v>91</v>
      </c>
      <c r="C92" s="11">
        <v>16</v>
      </c>
      <c r="D92" s="12" t="s">
        <v>312</v>
      </c>
      <c r="E92" s="11">
        <v>150</v>
      </c>
      <c r="F92" s="11">
        <v>220</v>
      </c>
      <c r="G92" s="13">
        <v>1.5</v>
      </c>
      <c r="H92" s="11" t="s">
        <v>143</v>
      </c>
      <c r="I92" s="11" t="s">
        <v>144</v>
      </c>
      <c r="J92" s="11">
        <v>1</v>
      </c>
      <c r="K92" s="13">
        <v>-70.5</v>
      </c>
      <c r="L92" s="11">
        <v>0</v>
      </c>
      <c r="M92" s="11" t="s">
        <v>45</v>
      </c>
      <c r="N92" s="11"/>
      <c r="O92" s="14">
        <v>0</v>
      </c>
    </row>
    <row r="93" spans="1:15" ht="18" customHeight="1" x14ac:dyDescent="0.25">
      <c r="A93" s="11" t="s">
        <v>221</v>
      </c>
      <c r="B93" s="11">
        <v>92</v>
      </c>
      <c r="C93" s="11">
        <v>16</v>
      </c>
      <c r="D93" s="12" t="s">
        <v>313</v>
      </c>
      <c r="E93" s="11">
        <v>150</v>
      </c>
      <c r="F93" s="11">
        <v>220</v>
      </c>
      <c r="G93" s="13">
        <v>2</v>
      </c>
      <c r="H93" s="11" t="s">
        <v>143</v>
      </c>
      <c r="I93" s="11" t="s">
        <v>144</v>
      </c>
      <c r="J93" s="11">
        <v>1</v>
      </c>
      <c r="K93" s="13">
        <v>-66</v>
      </c>
      <c r="L93" s="11">
        <v>0</v>
      </c>
      <c r="M93" s="11" t="s">
        <v>45</v>
      </c>
      <c r="N93" s="11"/>
      <c r="O93" s="14">
        <v>0</v>
      </c>
    </row>
    <row r="94" spans="1:15" ht="18" customHeight="1" x14ac:dyDescent="0.25">
      <c r="A94" s="11" t="s">
        <v>221</v>
      </c>
      <c r="B94" s="11">
        <v>93</v>
      </c>
      <c r="C94" s="11">
        <v>16</v>
      </c>
      <c r="D94" s="12" t="s">
        <v>314</v>
      </c>
      <c r="E94" s="11">
        <v>150</v>
      </c>
      <c r="F94" s="11">
        <v>220</v>
      </c>
      <c r="G94" s="13">
        <v>2.5</v>
      </c>
      <c r="H94" s="11" t="s">
        <v>143</v>
      </c>
      <c r="I94" s="11" t="s">
        <v>144</v>
      </c>
      <c r="J94" s="11">
        <v>1</v>
      </c>
      <c r="K94" s="13">
        <v>-76.5</v>
      </c>
      <c r="L94" s="11">
        <v>0</v>
      </c>
      <c r="M94" s="11" t="s">
        <v>45</v>
      </c>
      <c r="N94" s="11"/>
      <c r="O94" s="14">
        <v>0</v>
      </c>
    </row>
    <row r="95" spans="1:15" ht="18" customHeight="1" x14ac:dyDescent="0.25">
      <c r="A95" s="11" t="s">
        <v>221</v>
      </c>
      <c r="B95" s="11">
        <v>94</v>
      </c>
      <c r="C95" s="11">
        <v>16</v>
      </c>
      <c r="D95" s="12" t="s">
        <v>315</v>
      </c>
      <c r="E95" s="11">
        <v>150</v>
      </c>
      <c r="F95" s="11">
        <v>220</v>
      </c>
      <c r="G95" s="13">
        <v>3</v>
      </c>
      <c r="H95" s="11" t="s">
        <v>143</v>
      </c>
      <c r="I95" s="11" t="s">
        <v>144</v>
      </c>
      <c r="J95" s="11">
        <v>1</v>
      </c>
      <c r="K95" s="13">
        <v>-76</v>
      </c>
      <c r="L95" s="11">
        <v>0</v>
      </c>
      <c r="M95" s="11" t="s">
        <v>45</v>
      </c>
      <c r="N95" s="11"/>
      <c r="O95" s="14">
        <v>0</v>
      </c>
    </row>
    <row r="96" spans="1:15" ht="18" customHeight="1" x14ac:dyDescent="0.25">
      <c r="A96" s="11" t="s">
        <v>221</v>
      </c>
      <c r="B96" s="11">
        <v>95</v>
      </c>
      <c r="C96" s="11">
        <v>16</v>
      </c>
      <c r="D96" s="12" t="s">
        <v>316</v>
      </c>
      <c r="E96" s="11">
        <v>150</v>
      </c>
      <c r="F96" s="11">
        <v>220</v>
      </c>
      <c r="G96" s="13">
        <v>3.5</v>
      </c>
      <c r="H96" s="11" t="s">
        <v>143</v>
      </c>
      <c r="I96" s="11"/>
      <c r="J96" s="11">
        <v>0</v>
      </c>
      <c r="K96" s="13"/>
      <c r="L96" s="11">
        <v>0</v>
      </c>
      <c r="M96" s="11" t="s">
        <v>45</v>
      </c>
      <c r="N96" s="11"/>
      <c r="O96" s="14">
        <v>1</v>
      </c>
    </row>
    <row r="97" spans="1:15" ht="18" customHeight="1" x14ac:dyDescent="0.25">
      <c r="A97" s="11" t="s">
        <v>221</v>
      </c>
      <c r="B97" s="11">
        <v>96</v>
      </c>
      <c r="C97" s="11">
        <v>16</v>
      </c>
      <c r="D97" s="12" t="s">
        <v>317</v>
      </c>
      <c r="E97" s="11">
        <v>150</v>
      </c>
      <c r="F97" s="11">
        <v>220</v>
      </c>
      <c r="G97" s="13">
        <v>4</v>
      </c>
      <c r="H97" s="11" t="s">
        <v>143</v>
      </c>
      <c r="I97" s="11"/>
      <c r="J97" s="11">
        <v>0</v>
      </c>
      <c r="K97" s="13"/>
      <c r="L97" s="11">
        <v>0</v>
      </c>
      <c r="M97" s="11" t="s">
        <v>45</v>
      </c>
      <c r="N97" s="11"/>
      <c r="O97" s="14">
        <v>1</v>
      </c>
    </row>
    <row r="98" spans="1:15" ht="18" customHeight="1" x14ac:dyDescent="0.25">
      <c r="A98" s="11" t="s">
        <v>221</v>
      </c>
      <c r="B98" s="11">
        <v>97</v>
      </c>
      <c r="C98" s="11">
        <v>16</v>
      </c>
      <c r="D98" s="12" t="s">
        <v>318</v>
      </c>
      <c r="E98" s="11">
        <v>150</v>
      </c>
      <c r="F98" s="11">
        <v>230</v>
      </c>
      <c r="G98" s="13">
        <v>0.5</v>
      </c>
      <c r="H98" s="11" t="s">
        <v>146</v>
      </c>
      <c r="I98" s="11" t="s">
        <v>147</v>
      </c>
      <c r="J98" s="11">
        <v>1</v>
      </c>
      <c r="K98" s="13">
        <v>-55.5</v>
      </c>
      <c r="L98" s="11">
        <v>0</v>
      </c>
      <c r="M98" s="11" t="s">
        <v>50</v>
      </c>
      <c r="N98" s="11"/>
      <c r="O98" s="14">
        <v>0</v>
      </c>
    </row>
    <row r="99" spans="1:15" ht="18" customHeight="1" x14ac:dyDescent="0.25">
      <c r="A99" s="11" t="s">
        <v>221</v>
      </c>
      <c r="B99" s="11">
        <v>98</v>
      </c>
      <c r="C99" s="11">
        <v>16</v>
      </c>
      <c r="D99" s="12" t="s">
        <v>319</v>
      </c>
      <c r="E99" s="11">
        <v>150</v>
      </c>
      <c r="F99" s="11">
        <v>230</v>
      </c>
      <c r="G99" s="13">
        <v>1</v>
      </c>
      <c r="H99" s="11" t="s">
        <v>146</v>
      </c>
      <c r="I99" s="11" t="s">
        <v>147</v>
      </c>
      <c r="J99" s="11">
        <v>1</v>
      </c>
      <c r="K99" s="13">
        <v>-67.5</v>
      </c>
      <c r="L99" s="11">
        <v>0</v>
      </c>
      <c r="M99" s="11" t="s">
        <v>50</v>
      </c>
      <c r="N99" s="11"/>
      <c r="O99" s="14">
        <v>0</v>
      </c>
    </row>
    <row r="100" spans="1:15" ht="18" customHeight="1" x14ac:dyDescent="0.25">
      <c r="A100" s="11" t="s">
        <v>221</v>
      </c>
      <c r="B100" s="11">
        <v>99</v>
      </c>
      <c r="C100" s="11">
        <v>16</v>
      </c>
      <c r="D100" s="12" t="s">
        <v>320</v>
      </c>
      <c r="E100" s="11">
        <v>150</v>
      </c>
      <c r="F100" s="11">
        <v>230</v>
      </c>
      <c r="G100" s="13">
        <v>1.5</v>
      </c>
      <c r="H100" s="11" t="s">
        <v>146</v>
      </c>
      <c r="I100" s="11" t="s">
        <v>147</v>
      </c>
      <c r="J100" s="11">
        <v>1</v>
      </c>
      <c r="K100" s="13">
        <v>-68.5</v>
      </c>
      <c r="L100" s="11">
        <v>0</v>
      </c>
      <c r="M100" s="11" t="s">
        <v>50</v>
      </c>
      <c r="N100" s="11"/>
      <c r="O100" s="14">
        <v>0</v>
      </c>
    </row>
    <row r="101" spans="1:15" ht="18" customHeight="1" x14ac:dyDescent="0.25">
      <c r="A101" s="11" t="s">
        <v>221</v>
      </c>
      <c r="B101" s="11">
        <v>100</v>
      </c>
      <c r="C101" s="11">
        <v>16</v>
      </c>
      <c r="D101" s="12" t="s">
        <v>321</v>
      </c>
      <c r="E101" s="11">
        <v>150</v>
      </c>
      <c r="F101" s="11">
        <v>230</v>
      </c>
      <c r="G101" s="13">
        <v>2</v>
      </c>
      <c r="H101" s="11" t="s">
        <v>146</v>
      </c>
      <c r="I101" s="11" t="s">
        <v>147</v>
      </c>
      <c r="J101" s="11">
        <v>1</v>
      </c>
      <c r="K101" s="13">
        <v>-73</v>
      </c>
      <c r="L101" s="11">
        <v>0</v>
      </c>
      <c r="M101" s="11" t="s">
        <v>50</v>
      </c>
      <c r="N101" s="11"/>
      <c r="O101" s="14">
        <v>0</v>
      </c>
    </row>
    <row r="102" spans="1:15" ht="18" customHeight="1" x14ac:dyDescent="0.25">
      <c r="A102" s="15" t="s">
        <v>221</v>
      </c>
      <c r="B102" s="15">
        <v>101</v>
      </c>
      <c r="C102" s="15">
        <v>16</v>
      </c>
      <c r="D102" s="16" t="s">
        <v>322</v>
      </c>
      <c r="E102" s="15">
        <v>150</v>
      </c>
      <c r="F102" s="15">
        <v>230</v>
      </c>
      <c r="G102" s="15">
        <v>2.5</v>
      </c>
      <c r="H102" s="15" t="s">
        <v>146</v>
      </c>
      <c r="I102" s="15" t="s">
        <v>147</v>
      </c>
      <c r="J102" s="15">
        <v>1</v>
      </c>
      <c r="K102" s="17">
        <v>-74.5</v>
      </c>
      <c r="L102" s="15">
        <v>0</v>
      </c>
      <c r="M102" s="15" t="s">
        <v>50</v>
      </c>
      <c r="N102" s="22"/>
      <c r="O102" s="15">
        <v>0</v>
      </c>
    </row>
    <row r="103" spans="1:15" ht="18" customHeight="1" x14ac:dyDescent="0.25">
      <c r="A103" s="15" t="s">
        <v>221</v>
      </c>
      <c r="B103" s="15">
        <v>102</v>
      </c>
      <c r="C103" s="15">
        <v>16</v>
      </c>
      <c r="D103" s="16" t="s">
        <v>323</v>
      </c>
      <c r="E103" s="15">
        <v>150</v>
      </c>
      <c r="F103" s="15">
        <v>230</v>
      </c>
      <c r="G103" s="15">
        <v>3</v>
      </c>
      <c r="H103" s="15" t="s">
        <v>146</v>
      </c>
      <c r="I103" s="15" t="s">
        <v>147</v>
      </c>
      <c r="J103" s="15">
        <v>1</v>
      </c>
      <c r="K103" s="17">
        <v>-75.5</v>
      </c>
      <c r="L103" s="15">
        <v>0</v>
      </c>
      <c r="M103" s="15" t="s">
        <v>50</v>
      </c>
      <c r="N103" s="22"/>
      <c r="O103" s="15">
        <v>0</v>
      </c>
    </row>
    <row r="104" spans="1:15" ht="18" customHeight="1" x14ac:dyDescent="0.25">
      <c r="A104" s="15" t="s">
        <v>221</v>
      </c>
      <c r="B104" s="15">
        <v>103</v>
      </c>
      <c r="C104" s="15">
        <v>16</v>
      </c>
      <c r="D104" s="16" t="s">
        <v>324</v>
      </c>
      <c r="E104" s="15">
        <v>150</v>
      </c>
      <c r="F104" s="15">
        <v>230</v>
      </c>
      <c r="G104" s="15">
        <v>3.5</v>
      </c>
      <c r="H104" s="15" t="s">
        <v>146</v>
      </c>
      <c r="I104" s="15" t="s">
        <v>147</v>
      </c>
      <c r="J104" s="15">
        <v>1</v>
      </c>
      <c r="K104" s="17">
        <v>-79</v>
      </c>
      <c r="L104" s="15">
        <v>0</v>
      </c>
      <c r="M104" s="15" t="s">
        <v>50</v>
      </c>
      <c r="N104" s="22"/>
      <c r="O104" s="15">
        <v>0</v>
      </c>
    </row>
    <row r="105" spans="1:15" ht="18" customHeight="1" x14ac:dyDescent="0.25">
      <c r="A105" s="15" t="s">
        <v>221</v>
      </c>
      <c r="B105" s="15">
        <v>104</v>
      </c>
      <c r="C105" s="15">
        <v>16</v>
      </c>
      <c r="D105" s="16" t="s">
        <v>325</v>
      </c>
      <c r="E105" s="15">
        <v>150</v>
      </c>
      <c r="F105" s="15">
        <v>230</v>
      </c>
      <c r="G105" s="15">
        <v>4</v>
      </c>
      <c r="H105" s="15" t="s">
        <v>146</v>
      </c>
      <c r="I105" s="15"/>
      <c r="J105" s="15">
        <v>0</v>
      </c>
      <c r="K105" s="17"/>
      <c r="L105" s="15">
        <v>0</v>
      </c>
      <c r="M105" s="15" t="s">
        <v>50</v>
      </c>
      <c r="N105" s="22"/>
      <c r="O105" s="15">
        <v>1</v>
      </c>
    </row>
    <row r="106" spans="1:15" ht="18" customHeight="1" x14ac:dyDescent="0.25">
      <c r="A106" s="15" t="s">
        <v>221</v>
      </c>
      <c r="B106" s="15">
        <v>105</v>
      </c>
      <c r="C106" s="15">
        <v>16</v>
      </c>
      <c r="D106" s="16" t="s">
        <v>326</v>
      </c>
      <c r="E106" s="15">
        <v>150</v>
      </c>
      <c r="F106" s="15">
        <v>240</v>
      </c>
      <c r="G106" s="15">
        <v>0.5</v>
      </c>
      <c r="H106" s="15" t="s">
        <v>150</v>
      </c>
      <c r="I106" s="15" t="s">
        <v>151</v>
      </c>
      <c r="J106" s="15">
        <v>1</v>
      </c>
      <c r="K106" s="17">
        <v>-59.5</v>
      </c>
      <c r="L106" s="15">
        <v>0</v>
      </c>
      <c r="M106" s="15" t="s">
        <v>48</v>
      </c>
      <c r="N106" s="22"/>
      <c r="O106" s="15">
        <v>0</v>
      </c>
    </row>
    <row r="107" spans="1:15" ht="18" customHeight="1" x14ac:dyDescent="0.25">
      <c r="A107" s="15" t="s">
        <v>221</v>
      </c>
      <c r="B107" s="15">
        <v>106</v>
      </c>
      <c r="C107" s="15">
        <v>16</v>
      </c>
      <c r="D107" s="16" t="s">
        <v>327</v>
      </c>
      <c r="E107" s="15">
        <v>150</v>
      </c>
      <c r="F107" s="15">
        <v>240</v>
      </c>
      <c r="G107" s="15">
        <v>1</v>
      </c>
      <c r="H107" s="15" t="s">
        <v>150</v>
      </c>
      <c r="I107" s="15" t="s">
        <v>151</v>
      </c>
      <c r="J107" s="15">
        <v>1</v>
      </c>
      <c r="K107" s="17">
        <v>-61</v>
      </c>
      <c r="L107" s="15">
        <v>0</v>
      </c>
      <c r="M107" s="15" t="s">
        <v>48</v>
      </c>
      <c r="N107" s="22"/>
      <c r="O107" s="15">
        <v>0</v>
      </c>
    </row>
    <row r="108" spans="1:15" ht="18" customHeight="1" x14ac:dyDescent="0.25">
      <c r="A108" s="15" t="s">
        <v>221</v>
      </c>
      <c r="B108" s="15">
        <v>107</v>
      </c>
      <c r="C108" s="15">
        <v>16</v>
      </c>
      <c r="D108" s="16" t="s">
        <v>328</v>
      </c>
      <c r="E108" s="15">
        <v>150</v>
      </c>
      <c r="F108" s="15">
        <v>240</v>
      </c>
      <c r="G108" s="15">
        <v>1.5</v>
      </c>
      <c r="H108" s="15" t="s">
        <v>150</v>
      </c>
      <c r="I108" s="15" t="s">
        <v>151</v>
      </c>
      <c r="J108" s="15">
        <v>1</v>
      </c>
      <c r="K108" s="17">
        <v>-67</v>
      </c>
      <c r="L108" s="15">
        <v>0</v>
      </c>
      <c r="M108" s="15" t="s">
        <v>48</v>
      </c>
      <c r="N108" s="22"/>
      <c r="O108" s="15">
        <v>0</v>
      </c>
    </row>
    <row r="109" spans="1:15" ht="18" customHeight="1" x14ac:dyDescent="0.25">
      <c r="A109" s="15" t="s">
        <v>221</v>
      </c>
      <c r="B109" s="15">
        <v>108</v>
      </c>
      <c r="C109" s="15">
        <v>16</v>
      </c>
      <c r="D109" s="16" t="s">
        <v>329</v>
      </c>
      <c r="E109" s="15">
        <v>150</v>
      </c>
      <c r="F109" s="15">
        <v>240</v>
      </c>
      <c r="G109" s="15">
        <v>2</v>
      </c>
      <c r="H109" s="15" t="s">
        <v>150</v>
      </c>
      <c r="I109" s="15" t="s">
        <v>151</v>
      </c>
      <c r="J109" s="15">
        <v>1</v>
      </c>
      <c r="K109" s="17">
        <v>-70</v>
      </c>
      <c r="L109" s="15">
        <v>0</v>
      </c>
      <c r="M109" s="15" t="s">
        <v>48</v>
      </c>
      <c r="N109" s="22"/>
      <c r="O109" s="15">
        <v>0</v>
      </c>
    </row>
    <row r="110" spans="1:15" ht="18" customHeight="1" x14ac:dyDescent="0.25">
      <c r="A110" s="15" t="s">
        <v>221</v>
      </c>
      <c r="B110" s="15">
        <v>109</v>
      </c>
      <c r="C110" s="15">
        <v>16</v>
      </c>
      <c r="D110" s="16" t="s">
        <v>330</v>
      </c>
      <c r="E110" s="15">
        <v>150</v>
      </c>
      <c r="F110" s="15">
        <v>240</v>
      </c>
      <c r="G110" s="15">
        <v>2.5</v>
      </c>
      <c r="H110" s="15" t="s">
        <v>150</v>
      </c>
      <c r="I110" s="15" t="s">
        <v>151</v>
      </c>
      <c r="J110" s="15">
        <v>1</v>
      </c>
      <c r="K110" s="17">
        <v>-76</v>
      </c>
      <c r="L110" s="15">
        <v>0</v>
      </c>
      <c r="M110" s="15" t="s">
        <v>48</v>
      </c>
      <c r="N110" s="22"/>
      <c r="O110" s="15">
        <v>0</v>
      </c>
    </row>
    <row r="111" spans="1:15" ht="18" customHeight="1" x14ac:dyDescent="0.25">
      <c r="A111" s="15" t="s">
        <v>221</v>
      </c>
      <c r="B111" s="15">
        <v>110</v>
      </c>
      <c r="C111" s="15">
        <v>16</v>
      </c>
      <c r="D111" s="16" t="s">
        <v>331</v>
      </c>
      <c r="E111" s="15">
        <v>150</v>
      </c>
      <c r="F111" s="15">
        <v>240</v>
      </c>
      <c r="G111" s="15">
        <v>3</v>
      </c>
      <c r="H111" s="15" t="s">
        <v>150</v>
      </c>
      <c r="I111" s="15" t="s">
        <v>151</v>
      </c>
      <c r="J111" s="15">
        <v>1</v>
      </c>
      <c r="K111" s="17">
        <v>-78.5</v>
      </c>
      <c r="L111" s="15">
        <v>0</v>
      </c>
      <c r="M111" s="15" t="s">
        <v>48</v>
      </c>
      <c r="N111" s="22"/>
      <c r="O111" s="15">
        <v>0</v>
      </c>
    </row>
    <row r="112" spans="1:15" ht="18" customHeight="1" x14ac:dyDescent="0.25">
      <c r="A112" s="15" t="s">
        <v>221</v>
      </c>
      <c r="B112" s="15">
        <v>111</v>
      </c>
      <c r="C112" s="15">
        <v>16</v>
      </c>
      <c r="D112" s="16" t="s">
        <v>332</v>
      </c>
      <c r="E112" s="15">
        <v>150</v>
      </c>
      <c r="F112" s="15">
        <v>240</v>
      </c>
      <c r="G112" s="15">
        <v>3.5</v>
      </c>
      <c r="H112" s="15" t="s">
        <v>150</v>
      </c>
      <c r="I112" s="15"/>
      <c r="J112" s="15">
        <v>0</v>
      </c>
      <c r="K112" s="17"/>
      <c r="L112" s="15">
        <v>0</v>
      </c>
      <c r="M112" s="15" t="s">
        <v>48</v>
      </c>
      <c r="N112" s="22"/>
      <c r="O112" s="15">
        <v>1</v>
      </c>
    </row>
    <row r="113" spans="1:15" ht="18" customHeight="1" x14ac:dyDescent="0.25">
      <c r="A113" s="15" t="s">
        <v>221</v>
      </c>
      <c r="B113" s="15">
        <v>112</v>
      </c>
      <c r="C113" s="15">
        <v>16</v>
      </c>
      <c r="D113" s="16" t="s">
        <v>333</v>
      </c>
      <c r="E113" s="15">
        <v>150</v>
      </c>
      <c r="F113" s="15">
        <v>240</v>
      </c>
      <c r="G113" s="15">
        <v>4</v>
      </c>
      <c r="H113" s="15" t="s">
        <v>150</v>
      </c>
      <c r="I113" s="15"/>
      <c r="J113" s="15">
        <v>0</v>
      </c>
      <c r="K113" s="17"/>
      <c r="L113" s="15">
        <v>0</v>
      </c>
      <c r="M113" s="15" t="s">
        <v>48</v>
      </c>
      <c r="N113" s="22"/>
      <c r="O113" s="15">
        <v>1</v>
      </c>
    </row>
    <row r="114" spans="1:15" ht="18" customHeight="1" x14ac:dyDescent="0.25">
      <c r="A114" s="15" t="s">
        <v>221</v>
      </c>
      <c r="B114" s="15">
        <v>113</v>
      </c>
      <c r="C114" s="15">
        <v>16</v>
      </c>
      <c r="D114" s="16" t="s">
        <v>334</v>
      </c>
      <c r="E114" s="15">
        <v>150</v>
      </c>
      <c r="F114" s="15">
        <v>250</v>
      </c>
      <c r="G114" s="15">
        <v>0.5</v>
      </c>
      <c r="H114" s="15" t="s">
        <v>153</v>
      </c>
      <c r="I114" s="15" t="s">
        <v>154</v>
      </c>
      <c r="J114" s="15">
        <v>1</v>
      </c>
      <c r="K114" s="17">
        <v>-54</v>
      </c>
      <c r="L114" s="15">
        <v>0</v>
      </c>
      <c r="M114" s="15" t="s">
        <v>45</v>
      </c>
      <c r="N114" s="22"/>
      <c r="O114" s="15">
        <v>0</v>
      </c>
    </row>
    <row r="115" spans="1:15" ht="18" customHeight="1" x14ac:dyDescent="0.25">
      <c r="A115" s="15" t="s">
        <v>221</v>
      </c>
      <c r="B115" s="15">
        <v>114</v>
      </c>
      <c r="C115" s="15">
        <v>16</v>
      </c>
      <c r="D115" s="16" t="s">
        <v>335</v>
      </c>
      <c r="E115" s="15">
        <v>150</v>
      </c>
      <c r="F115" s="15">
        <v>250</v>
      </c>
      <c r="G115" s="15">
        <v>1</v>
      </c>
      <c r="H115" s="15" t="s">
        <v>153</v>
      </c>
      <c r="I115" s="15" t="s">
        <v>154</v>
      </c>
      <c r="J115" s="15">
        <v>1</v>
      </c>
      <c r="K115" s="17">
        <v>-59.5</v>
      </c>
      <c r="L115" s="15">
        <v>0</v>
      </c>
      <c r="M115" s="15" t="s">
        <v>45</v>
      </c>
      <c r="N115" s="22"/>
      <c r="O115" s="15">
        <v>0</v>
      </c>
    </row>
    <row r="116" spans="1:15" ht="18" customHeight="1" x14ac:dyDescent="0.25">
      <c r="A116" s="15" t="s">
        <v>221</v>
      </c>
      <c r="B116" s="15">
        <v>115</v>
      </c>
      <c r="C116" s="15">
        <v>16</v>
      </c>
      <c r="D116" s="16" t="s">
        <v>336</v>
      </c>
      <c r="E116" s="15">
        <v>150</v>
      </c>
      <c r="F116" s="15">
        <v>250</v>
      </c>
      <c r="G116" s="15">
        <v>1.5</v>
      </c>
      <c r="H116" s="15" t="s">
        <v>153</v>
      </c>
      <c r="I116" s="15" t="s">
        <v>154</v>
      </c>
      <c r="J116" s="15">
        <v>1</v>
      </c>
      <c r="K116" s="17">
        <v>-71</v>
      </c>
      <c r="L116" s="15">
        <v>0</v>
      </c>
      <c r="M116" s="15" t="s">
        <v>45</v>
      </c>
      <c r="N116" s="22"/>
      <c r="O116" s="15">
        <v>0</v>
      </c>
    </row>
    <row r="117" spans="1:15" ht="18" customHeight="1" x14ac:dyDescent="0.25">
      <c r="A117" s="15" t="s">
        <v>221</v>
      </c>
      <c r="B117" s="15">
        <v>116</v>
      </c>
      <c r="C117" s="15">
        <v>16</v>
      </c>
      <c r="D117" s="16" t="s">
        <v>337</v>
      </c>
      <c r="E117" s="15">
        <v>150</v>
      </c>
      <c r="F117" s="15">
        <v>250</v>
      </c>
      <c r="G117" s="15">
        <v>2</v>
      </c>
      <c r="H117" s="15" t="s">
        <v>153</v>
      </c>
      <c r="I117" s="15"/>
      <c r="J117" s="15">
        <v>0</v>
      </c>
      <c r="K117" s="17"/>
      <c r="L117" s="15">
        <v>0</v>
      </c>
      <c r="M117" s="15" t="s">
        <v>45</v>
      </c>
      <c r="N117" s="22"/>
      <c r="O117" s="15">
        <v>1</v>
      </c>
    </row>
    <row r="118" spans="1:15" ht="18" customHeight="1" x14ac:dyDescent="0.25">
      <c r="A118" s="15" t="s">
        <v>221</v>
      </c>
      <c r="B118" s="15">
        <v>117</v>
      </c>
      <c r="C118" s="15">
        <v>16</v>
      </c>
      <c r="D118" s="16" t="s">
        <v>338</v>
      </c>
      <c r="E118" s="15">
        <v>150</v>
      </c>
      <c r="F118" s="15">
        <v>250</v>
      </c>
      <c r="G118" s="15">
        <v>2.5</v>
      </c>
      <c r="H118" s="15" t="s">
        <v>153</v>
      </c>
      <c r="I118" s="15" t="s">
        <v>154</v>
      </c>
      <c r="J118" s="15">
        <v>1</v>
      </c>
      <c r="K118" s="17">
        <v>-75</v>
      </c>
      <c r="L118" s="15">
        <v>0</v>
      </c>
      <c r="M118" s="15" t="s">
        <v>45</v>
      </c>
      <c r="N118" s="22"/>
      <c r="O118" s="15">
        <v>0</v>
      </c>
    </row>
    <row r="119" spans="1:15" ht="18" customHeight="1" x14ac:dyDescent="0.25">
      <c r="A119" s="15" t="s">
        <v>221</v>
      </c>
      <c r="B119" s="15">
        <v>118</v>
      </c>
      <c r="C119" s="15">
        <v>16</v>
      </c>
      <c r="D119" s="16" t="s">
        <v>339</v>
      </c>
      <c r="E119" s="15">
        <v>150</v>
      </c>
      <c r="F119" s="15">
        <v>250</v>
      </c>
      <c r="G119" s="15">
        <v>3</v>
      </c>
      <c r="H119" s="15" t="s">
        <v>153</v>
      </c>
      <c r="I119" s="15" t="s">
        <v>154</v>
      </c>
      <c r="J119" s="15">
        <v>1</v>
      </c>
      <c r="K119" s="17">
        <v>-77.5</v>
      </c>
      <c r="L119" s="15">
        <v>0</v>
      </c>
      <c r="M119" s="15" t="s">
        <v>45</v>
      </c>
      <c r="N119" s="22"/>
      <c r="O119" s="15">
        <v>0</v>
      </c>
    </row>
    <row r="120" spans="1:15" ht="18" customHeight="1" x14ac:dyDescent="0.25">
      <c r="A120" s="15" t="s">
        <v>221</v>
      </c>
      <c r="B120" s="15">
        <v>119</v>
      </c>
      <c r="C120" s="15">
        <v>16</v>
      </c>
      <c r="D120" s="16" t="s">
        <v>340</v>
      </c>
      <c r="E120" s="15">
        <v>150</v>
      </c>
      <c r="F120" s="15">
        <v>250</v>
      </c>
      <c r="G120" s="15">
        <v>3.5</v>
      </c>
      <c r="H120" s="15" t="s">
        <v>153</v>
      </c>
      <c r="I120" s="15"/>
      <c r="J120" s="15">
        <v>0</v>
      </c>
      <c r="K120" s="17"/>
      <c r="L120" s="15">
        <v>0</v>
      </c>
      <c r="M120" s="15" t="s">
        <v>45</v>
      </c>
      <c r="N120" s="22"/>
      <c r="O120" s="15">
        <v>1</v>
      </c>
    </row>
    <row r="121" spans="1:15" ht="18" customHeight="1" x14ac:dyDescent="0.25">
      <c r="A121" s="15" t="s">
        <v>221</v>
      </c>
      <c r="B121" s="15">
        <v>120</v>
      </c>
      <c r="C121" s="15">
        <v>16</v>
      </c>
      <c r="D121" s="16" t="s">
        <v>341</v>
      </c>
      <c r="E121" s="15">
        <v>150</v>
      </c>
      <c r="F121" s="15">
        <v>250</v>
      </c>
      <c r="G121" s="15">
        <v>4</v>
      </c>
      <c r="H121" s="15" t="s">
        <v>153</v>
      </c>
      <c r="I121" s="15"/>
      <c r="J121" s="15">
        <v>0</v>
      </c>
      <c r="K121" s="17"/>
      <c r="L121" s="15">
        <v>0</v>
      </c>
      <c r="M121" s="15" t="s">
        <v>45</v>
      </c>
      <c r="N121" s="22"/>
      <c r="O121" s="15">
        <v>1</v>
      </c>
    </row>
    <row r="122" spans="1:15" ht="18" customHeight="1" x14ac:dyDescent="0.25">
      <c r="A122" s="15" t="s">
        <v>342</v>
      </c>
      <c r="B122" s="15">
        <v>1</v>
      </c>
      <c r="C122" s="15">
        <v>12</v>
      </c>
      <c r="D122" s="16" t="s">
        <v>343</v>
      </c>
      <c r="E122" s="15">
        <v>150</v>
      </c>
      <c r="F122" s="15">
        <v>110</v>
      </c>
      <c r="G122" s="15">
        <v>2</v>
      </c>
      <c r="H122" s="15" t="s">
        <v>111</v>
      </c>
      <c r="I122" s="15" t="s">
        <v>112</v>
      </c>
      <c r="J122" s="15">
        <v>1</v>
      </c>
      <c r="K122" s="17">
        <v>-66.5</v>
      </c>
      <c r="L122" s="15">
        <v>0</v>
      </c>
      <c r="M122" s="15" t="s">
        <v>48</v>
      </c>
      <c r="N122" s="22"/>
      <c r="O122" s="15">
        <v>0</v>
      </c>
    </row>
    <row r="123" spans="1:15" ht="18" customHeight="1" x14ac:dyDescent="0.25">
      <c r="A123" s="15" t="s">
        <v>342</v>
      </c>
      <c r="B123" s="15">
        <v>2</v>
      </c>
      <c r="C123" s="15">
        <v>4</v>
      </c>
      <c r="D123" s="16" t="s">
        <v>344</v>
      </c>
      <c r="E123" s="15">
        <v>150</v>
      </c>
      <c r="F123" s="15">
        <v>110</v>
      </c>
      <c r="G123" s="15">
        <v>2</v>
      </c>
      <c r="H123" s="15" t="s">
        <v>111</v>
      </c>
      <c r="I123" s="15" t="s">
        <v>112</v>
      </c>
      <c r="J123" s="15">
        <v>1</v>
      </c>
      <c r="K123" s="17">
        <v>-72.5</v>
      </c>
      <c r="L123" s="15">
        <v>45</v>
      </c>
      <c r="M123" s="15" t="s">
        <v>48</v>
      </c>
      <c r="N123" s="22"/>
      <c r="O123" s="15">
        <v>0</v>
      </c>
    </row>
    <row r="124" spans="1:15" ht="18" customHeight="1" x14ac:dyDescent="0.25">
      <c r="A124" s="15" t="s">
        <v>342</v>
      </c>
      <c r="B124" s="15">
        <v>2</v>
      </c>
      <c r="C124" s="15">
        <v>27</v>
      </c>
      <c r="D124" s="16" t="s">
        <v>345</v>
      </c>
      <c r="E124" s="15">
        <v>150</v>
      </c>
      <c r="F124" s="15">
        <v>110</v>
      </c>
      <c r="G124" s="15">
        <v>2</v>
      </c>
      <c r="H124" s="15" t="s">
        <v>111</v>
      </c>
      <c r="I124" s="15" t="s">
        <v>112</v>
      </c>
      <c r="J124" s="15">
        <v>1</v>
      </c>
      <c r="K124" s="17">
        <v>-73</v>
      </c>
      <c r="L124" s="15">
        <v>45</v>
      </c>
      <c r="M124" s="15" t="s">
        <v>48</v>
      </c>
      <c r="N124" s="22"/>
      <c r="O124" s="15">
        <v>0</v>
      </c>
    </row>
    <row r="125" spans="1:15" ht="18" customHeight="1" x14ac:dyDescent="0.25">
      <c r="A125" s="15" t="s">
        <v>342</v>
      </c>
      <c r="B125" s="15">
        <v>3</v>
      </c>
      <c r="C125" s="15">
        <v>19</v>
      </c>
      <c r="D125" s="16" t="s">
        <v>346</v>
      </c>
      <c r="E125" s="15">
        <v>150</v>
      </c>
      <c r="F125" s="15">
        <v>110</v>
      </c>
      <c r="G125" s="15">
        <v>2</v>
      </c>
      <c r="H125" s="15" t="s">
        <v>111</v>
      </c>
      <c r="I125" s="15"/>
      <c r="J125" s="15">
        <v>0</v>
      </c>
      <c r="K125" s="17"/>
      <c r="L125" s="15">
        <v>90</v>
      </c>
      <c r="M125" s="15" t="s">
        <v>48</v>
      </c>
      <c r="N125" s="22"/>
      <c r="O125" s="15">
        <v>1</v>
      </c>
    </row>
    <row r="126" spans="1:15" ht="18" customHeight="1" x14ac:dyDescent="0.25">
      <c r="A126" s="15" t="s">
        <v>342</v>
      </c>
      <c r="B126" s="15">
        <v>4</v>
      </c>
      <c r="C126" s="15">
        <v>12</v>
      </c>
      <c r="D126" s="16" t="s">
        <v>347</v>
      </c>
      <c r="E126" s="15">
        <v>150</v>
      </c>
      <c r="F126" s="15">
        <v>120</v>
      </c>
      <c r="G126" s="15">
        <v>2</v>
      </c>
      <c r="H126" s="15" t="s">
        <v>114</v>
      </c>
      <c r="I126" s="15" t="s">
        <v>115</v>
      </c>
      <c r="J126" s="15">
        <v>1</v>
      </c>
      <c r="K126" s="17">
        <v>-66.5</v>
      </c>
      <c r="L126" s="15">
        <v>0</v>
      </c>
      <c r="M126" s="15" t="s">
        <v>49</v>
      </c>
      <c r="N126" s="22"/>
      <c r="O126" s="15">
        <v>0</v>
      </c>
    </row>
    <row r="127" spans="1:15" ht="18" customHeight="1" x14ac:dyDescent="0.25">
      <c r="A127" s="15" t="s">
        <v>342</v>
      </c>
      <c r="B127" s="15">
        <v>5</v>
      </c>
      <c r="C127" s="15">
        <v>4</v>
      </c>
      <c r="D127" s="16" t="s">
        <v>348</v>
      </c>
      <c r="E127" s="15">
        <v>150</v>
      </c>
      <c r="F127" s="15">
        <v>120</v>
      </c>
      <c r="G127" s="15">
        <v>2</v>
      </c>
      <c r="H127" s="15" t="s">
        <v>114</v>
      </c>
      <c r="I127" s="15" t="s">
        <v>115</v>
      </c>
      <c r="J127" s="15">
        <v>1</v>
      </c>
      <c r="K127" s="17">
        <v>-71.5</v>
      </c>
      <c r="L127" s="15">
        <v>45</v>
      </c>
      <c r="M127" s="15" t="s">
        <v>49</v>
      </c>
      <c r="N127" s="22"/>
      <c r="O127" s="15">
        <v>0</v>
      </c>
    </row>
    <row r="128" spans="1:15" ht="18" customHeight="1" x14ac:dyDescent="0.25">
      <c r="A128" s="15" t="s">
        <v>342</v>
      </c>
      <c r="B128" s="15">
        <v>5</v>
      </c>
      <c r="C128" s="15">
        <v>27</v>
      </c>
      <c r="D128" s="16" t="s">
        <v>349</v>
      </c>
      <c r="E128" s="15">
        <v>150</v>
      </c>
      <c r="F128" s="15">
        <v>120</v>
      </c>
      <c r="G128" s="15">
        <v>2</v>
      </c>
      <c r="H128" s="15" t="s">
        <v>114</v>
      </c>
      <c r="I128" s="15" t="s">
        <v>115</v>
      </c>
      <c r="J128" s="15">
        <v>1</v>
      </c>
      <c r="K128" s="17">
        <v>-74</v>
      </c>
      <c r="L128" s="15">
        <v>45</v>
      </c>
      <c r="M128" s="15" t="s">
        <v>49</v>
      </c>
      <c r="N128" s="22"/>
      <c r="O128" s="15">
        <v>0</v>
      </c>
    </row>
    <row r="129" spans="1:15" ht="18" customHeight="1" x14ac:dyDescent="0.25">
      <c r="A129" s="15" t="s">
        <v>342</v>
      </c>
      <c r="B129" s="15">
        <v>6</v>
      </c>
      <c r="C129" s="15">
        <v>19</v>
      </c>
      <c r="D129" s="16" t="s">
        <v>350</v>
      </c>
      <c r="E129" s="15">
        <v>150</v>
      </c>
      <c r="F129" s="15">
        <v>120</v>
      </c>
      <c r="G129" s="15">
        <v>2</v>
      </c>
      <c r="H129" s="15" t="s">
        <v>114</v>
      </c>
      <c r="I129" s="15"/>
      <c r="J129" s="15">
        <v>0</v>
      </c>
      <c r="K129" s="17"/>
      <c r="L129" s="15">
        <v>90</v>
      </c>
      <c r="M129" s="15" t="s">
        <v>49</v>
      </c>
      <c r="N129" s="22"/>
      <c r="O129" s="15">
        <v>1</v>
      </c>
    </row>
    <row r="130" spans="1:15" ht="18" customHeight="1" x14ac:dyDescent="0.25">
      <c r="A130" s="15" t="s">
        <v>342</v>
      </c>
      <c r="B130" s="15">
        <v>7</v>
      </c>
      <c r="C130" s="15">
        <v>12</v>
      </c>
      <c r="D130" s="16" t="s">
        <v>351</v>
      </c>
      <c r="E130" s="15">
        <v>150</v>
      </c>
      <c r="F130" s="15">
        <v>130</v>
      </c>
      <c r="G130" s="15">
        <v>2</v>
      </c>
      <c r="H130" s="15" t="s">
        <v>117</v>
      </c>
      <c r="I130" s="15" t="s">
        <v>118</v>
      </c>
      <c r="J130" s="15">
        <v>1</v>
      </c>
      <c r="K130" s="17">
        <v>-66.5</v>
      </c>
      <c r="L130" s="15">
        <v>0</v>
      </c>
      <c r="M130" s="15" t="s">
        <v>49</v>
      </c>
      <c r="N130" s="22"/>
      <c r="O130" s="15">
        <v>0</v>
      </c>
    </row>
    <row r="131" spans="1:15" ht="18" customHeight="1" x14ac:dyDescent="0.25">
      <c r="A131" s="15" t="s">
        <v>342</v>
      </c>
      <c r="B131" s="15">
        <v>8</v>
      </c>
      <c r="C131" s="15">
        <v>4</v>
      </c>
      <c r="D131" s="16" t="s">
        <v>352</v>
      </c>
      <c r="E131" s="15">
        <v>150</v>
      </c>
      <c r="F131" s="15">
        <v>130</v>
      </c>
      <c r="G131" s="15">
        <v>2</v>
      </c>
      <c r="H131" s="15" t="s">
        <v>117</v>
      </c>
      <c r="I131" s="15"/>
      <c r="J131" s="15">
        <v>0</v>
      </c>
      <c r="K131" s="17"/>
      <c r="L131" s="15">
        <v>45</v>
      </c>
      <c r="M131" s="15" t="s">
        <v>49</v>
      </c>
      <c r="N131" s="22"/>
      <c r="O131" s="15">
        <v>1</v>
      </c>
    </row>
    <row r="132" spans="1:15" ht="18" customHeight="1" x14ac:dyDescent="0.25">
      <c r="A132" s="15" t="s">
        <v>342</v>
      </c>
      <c r="B132" s="15">
        <v>8</v>
      </c>
      <c r="C132" s="15">
        <v>27</v>
      </c>
      <c r="D132" s="16" t="s">
        <v>353</v>
      </c>
      <c r="E132" s="15">
        <v>150</v>
      </c>
      <c r="F132" s="15">
        <v>130</v>
      </c>
      <c r="G132" s="15">
        <v>2</v>
      </c>
      <c r="H132" s="15" t="s">
        <v>117</v>
      </c>
      <c r="I132" s="15"/>
      <c r="J132" s="15">
        <v>0</v>
      </c>
      <c r="K132" s="17"/>
      <c r="L132" s="15">
        <v>45</v>
      </c>
      <c r="M132" s="15" t="s">
        <v>49</v>
      </c>
      <c r="N132" s="22"/>
      <c r="O132" s="15">
        <v>1</v>
      </c>
    </row>
    <row r="133" spans="1:15" ht="18" customHeight="1" x14ac:dyDescent="0.25">
      <c r="A133" s="15" t="s">
        <v>342</v>
      </c>
      <c r="B133" s="15">
        <v>9</v>
      </c>
      <c r="C133" s="15">
        <v>19</v>
      </c>
      <c r="D133" s="16" t="s">
        <v>354</v>
      </c>
      <c r="E133" s="15">
        <v>150</v>
      </c>
      <c r="F133" s="15">
        <v>130</v>
      </c>
      <c r="G133" s="15">
        <v>2</v>
      </c>
      <c r="H133" s="15" t="s">
        <v>117</v>
      </c>
      <c r="I133" s="15"/>
      <c r="J133" s="15">
        <v>0</v>
      </c>
      <c r="K133" s="17"/>
      <c r="L133" s="15">
        <v>90</v>
      </c>
      <c r="M133" s="15" t="s">
        <v>49</v>
      </c>
      <c r="N133" s="22"/>
      <c r="O133" s="15">
        <v>1</v>
      </c>
    </row>
    <row r="134" spans="1:15" ht="18" customHeight="1" x14ac:dyDescent="0.25">
      <c r="A134" s="15" t="s">
        <v>342</v>
      </c>
      <c r="B134" s="15">
        <v>10</v>
      </c>
      <c r="C134" s="15">
        <v>12</v>
      </c>
      <c r="D134" s="16" t="s">
        <v>355</v>
      </c>
      <c r="E134" s="15">
        <v>150</v>
      </c>
      <c r="F134" s="15">
        <v>140</v>
      </c>
      <c r="G134" s="15">
        <v>2</v>
      </c>
      <c r="H134" s="15" t="s">
        <v>119</v>
      </c>
      <c r="I134" s="15" t="s">
        <v>120</v>
      </c>
      <c r="J134" s="15">
        <v>1</v>
      </c>
      <c r="K134" s="17">
        <v>-66.5</v>
      </c>
      <c r="L134" s="15">
        <v>0</v>
      </c>
      <c r="M134" s="15" t="s">
        <v>49</v>
      </c>
      <c r="N134" s="22"/>
      <c r="O134" s="15">
        <v>0</v>
      </c>
    </row>
    <row r="135" spans="1:15" ht="18" customHeight="1" x14ac:dyDescent="0.25">
      <c r="A135" s="15" t="s">
        <v>342</v>
      </c>
      <c r="B135" s="15">
        <v>11</v>
      </c>
      <c r="C135" s="15">
        <v>4</v>
      </c>
      <c r="D135" s="16" t="s">
        <v>356</v>
      </c>
      <c r="E135" s="15">
        <v>150</v>
      </c>
      <c r="F135" s="15">
        <v>140</v>
      </c>
      <c r="G135" s="15">
        <v>2</v>
      </c>
      <c r="H135" s="15" t="s">
        <v>119</v>
      </c>
      <c r="I135" s="15"/>
      <c r="J135" s="15">
        <v>0</v>
      </c>
      <c r="K135" s="17"/>
      <c r="L135" s="15">
        <v>45</v>
      </c>
      <c r="M135" s="15" t="s">
        <v>49</v>
      </c>
      <c r="N135" s="22"/>
      <c r="O135" s="15">
        <v>1</v>
      </c>
    </row>
    <row r="136" spans="1:15" ht="18" customHeight="1" x14ac:dyDescent="0.25">
      <c r="A136" s="15" t="s">
        <v>342</v>
      </c>
      <c r="B136" s="15">
        <v>11</v>
      </c>
      <c r="C136" s="15">
        <v>27</v>
      </c>
      <c r="D136" s="16" t="s">
        <v>357</v>
      </c>
      <c r="E136" s="15">
        <v>150</v>
      </c>
      <c r="F136" s="15">
        <v>140</v>
      </c>
      <c r="G136" s="15">
        <v>2</v>
      </c>
      <c r="H136" s="15" t="s">
        <v>119</v>
      </c>
      <c r="I136" s="15" t="s">
        <v>120</v>
      </c>
      <c r="J136" s="15">
        <v>1</v>
      </c>
      <c r="K136" s="17">
        <v>-74</v>
      </c>
      <c r="L136" s="15">
        <v>45</v>
      </c>
      <c r="M136" s="15" t="s">
        <v>49</v>
      </c>
      <c r="N136" s="22"/>
      <c r="O136" s="15">
        <v>0</v>
      </c>
    </row>
    <row r="137" spans="1:15" ht="18" customHeight="1" x14ac:dyDescent="0.25">
      <c r="A137" s="15" t="s">
        <v>342</v>
      </c>
      <c r="B137" s="15">
        <v>12</v>
      </c>
      <c r="C137" s="15">
        <v>19</v>
      </c>
      <c r="D137" s="16" t="s">
        <v>358</v>
      </c>
      <c r="E137" s="15">
        <v>150</v>
      </c>
      <c r="F137" s="15">
        <v>140</v>
      </c>
      <c r="G137" s="15">
        <v>2</v>
      </c>
      <c r="H137" s="15" t="s">
        <v>119</v>
      </c>
      <c r="I137" s="15"/>
      <c r="J137" s="15">
        <v>0</v>
      </c>
      <c r="K137" s="17"/>
      <c r="L137" s="15">
        <v>90</v>
      </c>
      <c r="M137" s="15" t="s">
        <v>49</v>
      </c>
      <c r="N137" s="22"/>
      <c r="O137" s="15">
        <v>1</v>
      </c>
    </row>
    <row r="138" spans="1:15" ht="18" customHeight="1" x14ac:dyDescent="0.25">
      <c r="A138" s="15" t="s">
        <v>342</v>
      </c>
      <c r="B138" s="15">
        <v>13</v>
      </c>
      <c r="C138" s="15">
        <v>12</v>
      </c>
      <c r="D138" s="16" t="s">
        <v>359</v>
      </c>
      <c r="E138" s="15">
        <v>150</v>
      </c>
      <c r="F138" s="15">
        <v>150</v>
      </c>
      <c r="G138" s="15">
        <v>2</v>
      </c>
      <c r="H138" s="15" t="s">
        <v>122</v>
      </c>
      <c r="I138" s="15" t="s">
        <v>123</v>
      </c>
      <c r="J138" s="15">
        <v>1</v>
      </c>
      <c r="K138" s="17">
        <v>-68</v>
      </c>
      <c r="L138" s="15">
        <v>0</v>
      </c>
      <c r="M138" s="15" t="s">
        <v>48</v>
      </c>
      <c r="N138" s="22"/>
      <c r="O138" s="15">
        <v>0</v>
      </c>
    </row>
    <row r="139" spans="1:15" ht="18" customHeight="1" x14ac:dyDescent="0.25">
      <c r="A139" s="15" t="s">
        <v>342</v>
      </c>
      <c r="B139" s="15">
        <v>14</v>
      </c>
      <c r="C139" s="15">
        <v>4</v>
      </c>
      <c r="D139" s="16" t="s">
        <v>360</v>
      </c>
      <c r="E139" s="15">
        <v>150</v>
      </c>
      <c r="F139" s="15">
        <v>150</v>
      </c>
      <c r="G139" s="15">
        <v>2</v>
      </c>
      <c r="H139" s="15" t="s">
        <v>122</v>
      </c>
      <c r="I139" s="15" t="s">
        <v>123</v>
      </c>
      <c r="J139" s="15">
        <v>1</v>
      </c>
      <c r="K139" s="17">
        <v>-72.5</v>
      </c>
      <c r="L139" s="15">
        <v>45</v>
      </c>
      <c r="M139" s="15" t="s">
        <v>48</v>
      </c>
      <c r="N139" s="22"/>
      <c r="O139" s="15">
        <v>0</v>
      </c>
    </row>
    <row r="140" spans="1:15" ht="18" customHeight="1" x14ac:dyDescent="0.25">
      <c r="A140" s="15" t="s">
        <v>342</v>
      </c>
      <c r="B140" s="15">
        <v>14</v>
      </c>
      <c r="C140" s="15">
        <v>27</v>
      </c>
      <c r="D140" s="16" t="s">
        <v>361</v>
      </c>
      <c r="E140" s="15">
        <v>150</v>
      </c>
      <c r="F140" s="15">
        <v>150</v>
      </c>
      <c r="G140" s="15">
        <v>2</v>
      </c>
      <c r="H140" s="15" t="s">
        <v>122</v>
      </c>
      <c r="I140" s="15" t="s">
        <v>123</v>
      </c>
      <c r="J140" s="15">
        <v>1</v>
      </c>
      <c r="K140" s="17">
        <v>-70.5</v>
      </c>
      <c r="L140" s="15">
        <v>45</v>
      </c>
      <c r="M140" s="15" t="s">
        <v>48</v>
      </c>
      <c r="N140" s="22"/>
      <c r="O140" s="15">
        <v>0</v>
      </c>
    </row>
    <row r="141" spans="1:15" ht="18" customHeight="1" x14ac:dyDescent="0.25">
      <c r="A141" s="15" t="s">
        <v>342</v>
      </c>
      <c r="B141" s="15">
        <v>15</v>
      </c>
      <c r="C141" s="15">
        <v>19</v>
      </c>
      <c r="D141" s="16" t="s">
        <v>362</v>
      </c>
      <c r="E141" s="15">
        <v>150</v>
      </c>
      <c r="F141" s="15">
        <v>150</v>
      </c>
      <c r="G141" s="15">
        <v>2</v>
      </c>
      <c r="H141" s="15" t="s">
        <v>122</v>
      </c>
      <c r="I141" s="15"/>
      <c r="J141" s="15">
        <v>0</v>
      </c>
      <c r="K141" s="17"/>
      <c r="L141" s="15">
        <v>90</v>
      </c>
      <c r="M141" s="15" t="s">
        <v>48</v>
      </c>
      <c r="N141" s="22"/>
      <c r="O141" s="15">
        <v>1</v>
      </c>
    </row>
    <row r="142" spans="1:15" ht="18" customHeight="1" x14ac:dyDescent="0.25">
      <c r="A142" s="15" t="s">
        <v>342</v>
      </c>
      <c r="B142" s="15">
        <v>16</v>
      </c>
      <c r="C142" s="15">
        <v>12</v>
      </c>
      <c r="D142" s="16" t="s">
        <v>363</v>
      </c>
      <c r="E142" s="15">
        <v>150</v>
      </c>
      <c r="F142" s="15">
        <v>160</v>
      </c>
      <c r="G142" s="15">
        <v>2</v>
      </c>
      <c r="H142" s="15" t="s">
        <v>125</v>
      </c>
      <c r="I142" s="15" t="s">
        <v>126</v>
      </c>
      <c r="J142" s="15">
        <v>1</v>
      </c>
      <c r="K142" s="17">
        <v>-67.5</v>
      </c>
      <c r="L142" s="15">
        <v>0</v>
      </c>
      <c r="M142" s="15" t="s">
        <v>48</v>
      </c>
      <c r="N142" s="22"/>
      <c r="O142" s="15">
        <v>0</v>
      </c>
    </row>
    <row r="143" spans="1:15" ht="18" customHeight="1" x14ac:dyDescent="0.25">
      <c r="A143" s="15" t="s">
        <v>342</v>
      </c>
      <c r="B143" s="15">
        <v>17</v>
      </c>
      <c r="C143" s="15">
        <v>4</v>
      </c>
      <c r="D143" s="16" t="s">
        <v>364</v>
      </c>
      <c r="E143" s="15">
        <v>150</v>
      </c>
      <c r="F143" s="15">
        <v>160</v>
      </c>
      <c r="G143" s="15">
        <v>2</v>
      </c>
      <c r="H143" s="15" t="s">
        <v>125</v>
      </c>
      <c r="I143" s="15"/>
      <c r="J143" s="15">
        <v>0</v>
      </c>
      <c r="K143" s="17"/>
      <c r="L143" s="15">
        <v>45</v>
      </c>
      <c r="M143" s="15" t="s">
        <v>48</v>
      </c>
      <c r="N143" s="22"/>
      <c r="O143" s="15">
        <v>1</v>
      </c>
    </row>
    <row r="144" spans="1:15" ht="18" customHeight="1" x14ac:dyDescent="0.25">
      <c r="A144" s="15" t="s">
        <v>342</v>
      </c>
      <c r="B144" s="15">
        <v>17</v>
      </c>
      <c r="C144" s="15">
        <v>27</v>
      </c>
      <c r="D144" s="16" t="s">
        <v>365</v>
      </c>
      <c r="E144" s="15">
        <v>150</v>
      </c>
      <c r="F144" s="15">
        <v>160</v>
      </c>
      <c r="G144" s="15">
        <v>2</v>
      </c>
      <c r="H144" s="15" t="s">
        <v>125</v>
      </c>
      <c r="I144" s="15" t="s">
        <v>126</v>
      </c>
      <c r="J144" s="15">
        <v>1</v>
      </c>
      <c r="K144" s="17">
        <v>-74</v>
      </c>
      <c r="L144" s="15">
        <v>45</v>
      </c>
      <c r="M144" s="15" t="s">
        <v>48</v>
      </c>
      <c r="N144" s="22"/>
      <c r="O144" s="15">
        <v>0</v>
      </c>
    </row>
    <row r="145" spans="1:15" ht="18" customHeight="1" x14ac:dyDescent="0.25">
      <c r="A145" s="15" t="s">
        <v>342</v>
      </c>
      <c r="B145" s="15">
        <v>18</v>
      </c>
      <c r="C145" s="15">
        <v>19</v>
      </c>
      <c r="D145" s="16" t="s">
        <v>366</v>
      </c>
      <c r="E145" s="15">
        <v>150</v>
      </c>
      <c r="F145" s="15">
        <v>160</v>
      </c>
      <c r="G145" s="15">
        <v>2</v>
      </c>
      <c r="H145" s="15" t="s">
        <v>125</v>
      </c>
      <c r="I145" s="15"/>
      <c r="J145" s="15">
        <v>0</v>
      </c>
      <c r="K145" s="17"/>
      <c r="L145" s="15">
        <v>90</v>
      </c>
      <c r="M145" s="15" t="s">
        <v>48</v>
      </c>
      <c r="N145" s="22"/>
      <c r="O145" s="15">
        <v>1</v>
      </c>
    </row>
    <row r="146" spans="1:15" ht="18" customHeight="1" x14ac:dyDescent="0.25">
      <c r="A146" s="15" t="s">
        <v>342</v>
      </c>
      <c r="B146" s="15">
        <v>19</v>
      </c>
      <c r="C146" s="15">
        <v>12</v>
      </c>
      <c r="D146" s="16" t="s">
        <v>367</v>
      </c>
      <c r="E146" s="15">
        <v>150</v>
      </c>
      <c r="F146" s="15">
        <v>170</v>
      </c>
      <c r="G146" s="15">
        <v>2</v>
      </c>
      <c r="H146" s="15" t="s">
        <v>127</v>
      </c>
      <c r="I146" s="15"/>
      <c r="J146" s="15">
        <v>0</v>
      </c>
      <c r="K146" s="17"/>
      <c r="L146" s="15">
        <v>0</v>
      </c>
      <c r="M146" s="15" t="s">
        <v>52</v>
      </c>
      <c r="N146" s="22"/>
      <c r="O146" s="15">
        <v>1</v>
      </c>
    </row>
    <row r="147" spans="1:15" ht="18" customHeight="1" x14ac:dyDescent="0.25">
      <c r="A147" s="15" t="s">
        <v>342</v>
      </c>
      <c r="B147" s="15">
        <v>20</v>
      </c>
      <c r="C147" s="15">
        <v>4</v>
      </c>
      <c r="D147" s="16" t="s">
        <v>368</v>
      </c>
      <c r="E147" s="15">
        <v>150</v>
      </c>
      <c r="F147" s="15">
        <v>170</v>
      </c>
      <c r="G147" s="15">
        <v>2</v>
      </c>
      <c r="H147" s="15" t="s">
        <v>127</v>
      </c>
      <c r="I147" s="15"/>
      <c r="J147" s="15">
        <v>0</v>
      </c>
      <c r="K147" s="17"/>
      <c r="L147" s="15">
        <v>45</v>
      </c>
      <c r="M147" s="15" t="s">
        <v>52</v>
      </c>
      <c r="N147" s="22"/>
      <c r="O147" s="15">
        <v>1</v>
      </c>
    </row>
    <row r="148" spans="1:15" ht="18" customHeight="1" x14ac:dyDescent="0.25">
      <c r="A148" s="15" t="s">
        <v>342</v>
      </c>
      <c r="B148" s="15">
        <v>20</v>
      </c>
      <c r="C148" s="15">
        <v>27</v>
      </c>
      <c r="D148" s="16" t="s">
        <v>369</v>
      </c>
      <c r="E148" s="15">
        <v>150</v>
      </c>
      <c r="F148" s="15">
        <v>170</v>
      </c>
      <c r="G148" s="15">
        <v>2</v>
      </c>
      <c r="H148" s="15" t="s">
        <v>127</v>
      </c>
      <c r="I148" s="15"/>
      <c r="J148" s="15">
        <v>0</v>
      </c>
      <c r="K148" s="17"/>
      <c r="L148" s="15">
        <v>45</v>
      </c>
      <c r="M148" s="15" t="s">
        <v>52</v>
      </c>
      <c r="N148" s="22"/>
      <c r="O148" s="15">
        <v>1</v>
      </c>
    </row>
    <row r="149" spans="1:15" ht="18" customHeight="1" x14ac:dyDescent="0.25">
      <c r="A149" s="15" t="s">
        <v>342</v>
      </c>
      <c r="B149" s="15">
        <v>21</v>
      </c>
      <c r="C149" s="15">
        <v>19</v>
      </c>
      <c r="D149" s="16" t="s">
        <v>370</v>
      </c>
      <c r="E149" s="15">
        <v>150</v>
      </c>
      <c r="F149" s="15">
        <v>170</v>
      </c>
      <c r="G149" s="15">
        <v>2</v>
      </c>
      <c r="H149" s="15" t="s">
        <v>127</v>
      </c>
      <c r="I149" s="15"/>
      <c r="J149" s="15">
        <v>0</v>
      </c>
      <c r="K149" s="17"/>
      <c r="L149" s="15">
        <v>90</v>
      </c>
      <c r="M149" s="15" t="s">
        <v>52</v>
      </c>
      <c r="N149" s="22"/>
      <c r="O149" s="15">
        <v>1</v>
      </c>
    </row>
    <row r="150" spans="1:15" ht="18" customHeight="1" x14ac:dyDescent="0.25">
      <c r="A150" s="15" t="s">
        <v>342</v>
      </c>
      <c r="B150" s="15">
        <v>22</v>
      </c>
      <c r="C150" s="15">
        <v>12</v>
      </c>
      <c r="D150" s="16" t="s">
        <v>371</v>
      </c>
      <c r="E150" s="15">
        <v>150</v>
      </c>
      <c r="F150" s="15">
        <v>180</v>
      </c>
      <c r="G150" s="15">
        <v>2</v>
      </c>
      <c r="H150" s="15" t="s">
        <v>131</v>
      </c>
      <c r="I150" s="15" t="s">
        <v>132</v>
      </c>
      <c r="J150" s="15">
        <v>1</v>
      </c>
      <c r="K150" s="17">
        <v>-66.5</v>
      </c>
      <c r="L150" s="15">
        <v>0</v>
      </c>
      <c r="M150" s="15" t="s">
        <v>48</v>
      </c>
      <c r="N150" s="22"/>
      <c r="O150" s="15">
        <v>0</v>
      </c>
    </row>
    <row r="151" spans="1:15" ht="18" customHeight="1" x14ac:dyDescent="0.25">
      <c r="A151" s="15" t="s">
        <v>342</v>
      </c>
      <c r="B151" s="15">
        <v>23</v>
      </c>
      <c r="C151" s="15">
        <v>4</v>
      </c>
      <c r="D151" s="16" t="s">
        <v>372</v>
      </c>
      <c r="E151" s="15">
        <v>150</v>
      </c>
      <c r="F151" s="15">
        <v>180</v>
      </c>
      <c r="G151" s="15">
        <v>2</v>
      </c>
      <c r="H151" s="15" t="s">
        <v>131</v>
      </c>
      <c r="I151" s="15" t="s">
        <v>132</v>
      </c>
      <c r="J151" s="15">
        <v>1</v>
      </c>
      <c r="K151" s="17">
        <v>-71</v>
      </c>
      <c r="L151" s="15">
        <v>45</v>
      </c>
      <c r="M151" s="15" t="s">
        <v>48</v>
      </c>
      <c r="N151" s="22"/>
      <c r="O151" s="15">
        <v>0</v>
      </c>
    </row>
    <row r="152" spans="1:15" ht="18" customHeight="1" x14ac:dyDescent="0.25">
      <c r="A152" s="15" t="s">
        <v>342</v>
      </c>
      <c r="B152" s="15">
        <v>23</v>
      </c>
      <c r="C152" s="15">
        <v>27</v>
      </c>
      <c r="D152" s="16" t="s">
        <v>373</v>
      </c>
      <c r="E152" s="15">
        <v>150</v>
      </c>
      <c r="F152" s="15">
        <v>180</v>
      </c>
      <c r="G152" s="15">
        <v>2</v>
      </c>
      <c r="H152" s="15" t="s">
        <v>131</v>
      </c>
      <c r="I152" s="15"/>
      <c r="J152" s="15">
        <v>0</v>
      </c>
      <c r="K152" s="17"/>
      <c r="L152" s="15">
        <v>45</v>
      </c>
      <c r="M152" s="15" t="s">
        <v>48</v>
      </c>
      <c r="N152" s="22"/>
      <c r="O152" s="15">
        <v>1</v>
      </c>
    </row>
    <row r="153" spans="1:15" ht="18" customHeight="1" x14ac:dyDescent="0.25">
      <c r="A153" s="15" t="s">
        <v>342</v>
      </c>
      <c r="B153" s="15">
        <v>24</v>
      </c>
      <c r="C153" s="15">
        <v>19</v>
      </c>
      <c r="D153" s="16" t="s">
        <v>374</v>
      </c>
      <c r="E153" s="15">
        <v>150</v>
      </c>
      <c r="F153" s="15">
        <v>180</v>
      </c>
      <c r="G153" s="15">
        <v>2</v>
      </c>
      <c r="H153" s="15" t="s">
        <v>131</v>
      </c>
      <c r="I153" s="15"/>
      <c r="J153" s="15">
        <v>0</v>
      </c>
      <c r="K153" s="17"/>
      <c r="L153" s="15">
        <v>90</v>
      </c>
      <c r="M153" s="15" t="s">
        <v>48</v>
      </c>
      <c r="N153" s="22"/>
      <c r="O153" s="15">
        <v>1</v>
      </c>
    </row>
    <row r="154" spans="1:15" ht="18" customHeight="1" x14ac:dyDescent="0.25">
      <c r="A154" s="15" t="s">
        <v>342</v>
      </c>
      <c r="B154" s="15">
        <v>25</v>
      </c>
      <c r="C154" s="15">
        <v>12</v>
      </c>
      <c r="D154" s="16" t="s">
        <v>375</v>
      </c>
      <c r="E154" s="15">
        <v>150</v>
      </c>
      <c r="F154" s="15">
        <v>190</v>
      </c>
      <c r="G154" s="15">
        <v>2</v>
      </c>
      <c r="H154" s="15" t="s">
        <v>134</v>
      </c>
      <c r="I154" s="15" t="s">
        <v>135</v>
      </c>
      <c r="J154" s="15">
        <v>1</v>
      </c>
      <c r="K154" s="17">
        <v>-70.5</v>
      </c>
      <c r="L154" s="15">
        <v>0</v>
      </c>
      <c r="M154" s="15" t="s">
        <v>49</v>
      </c>
      <c r="N154" s="22"/>
      <c r="O154" s="15">
        <v>0</v>
      </c>
    </row>
    <row r="155" spans="1:15" ht="18" customHeight="1" x14ac:dyDescent="0.25">
      <c r="A155" s="15" t="s">
        <v>342</v>
      </c>
      <c r="B155" s="15">
        <v>26</v>
      </c>
      <c r="C155" s="15">
        <v>4</v>
      </c>
      <c r="D155" s="16" t="s">
        <v>376</v>
      </c>
      <c r="E155" s="15">
        <v>150</v>
      </c>
      <c r="F155" s="15">
        <v>190</v>
      </c>
      <c r="G155" s="15">
        <v>2</v>
      </c>
      <c r="H155" s="15" t="s">
        <v>134</v>
      </c>
      <c r="I155" s="15" t="s">
        <v>135</v>
      </c>
      <c r="J155" s="15">
        <v>1</v>
      </c>
      <c r="K155" s="17">
        <v>-75</v>
      </c>
      <c r="L155" s="15">
        <v>45</v>
      </c>
      <c r="M155" s="15" t="s">
        <v>49</v>
      </c>
      <c r="N155" s="22"/>
      <c r="O155" s="15">
        <v>0</v>
      </c>
    </row>
    <row r="156" spans="1:15" ht="18" customHeight="1" x14ac:dyDescent="0.25">
      <c r="A156" s="15" t="s">
        <v>342</v>
      </c>
      <c r="B156" s="15">
        <v>26</v>
      </c>
      <c r="C156" s="15">
        <v>27</v>
      </c>
      <c r="D156" s="16" t="s">
        <v>377</v>
      </c>
      <c r="E156" s="15">
        <v>150</v>
      </c>
      <c r="F156" s="15">
        <v>190</v>
      </c>
      <c r="G156" s="15">
        <v>2</v>
      </c>
      <c r="H156" s="15" t="s">
        <v>134</v>
      </c>
      <c r="I156" s="15" t="s">
        <v>135</v>
      </c>
      <c r="J156" s="15">
        <v>1</v>
      </c>
      <c r="K156" s="17">
        <v>-71</v>
      </c>
      <c r="L156" s="15">
        <v>45</v>
      </c>
      <c r="M156" s="15" t="s">
        <v>49</v>
      </c>
      <c r="N156" s="22"/>
      <c r="O156" s="15">
        <v>0</v>
      </c>
    </row>
    <row r="157" spans="1:15" ht="18" customHeight="1" x14ac:dyDescent="0.25">
      <c r="A157" s="15" t="s">
        <v>342</v>
      </c>
      <c r="B157" s="15">
        <v>27</v>
      </c>
      <c r="C157" s="15">
        <v>19</v>
      </c>
      <c r="D157" s="16" t="s">
        <v>378</v>
      </c>
      <c r="E157" s="15">
        <v>150</v>
      </c>
      <c r="F157" s="15">
        <v>190</v>
      </c>
      <c r="G157" s="15">
        <v>2</v>
      </c>
      <c r="H157" s="15" t="s">
        <v>134</v>
      </c>
      <c r="I157" s="15"/>
      <c r="J157" s="15">
        <v>0</v>
      </c>
      <c r="K157" s="17"/>
      <c r="L157" s="15">
        <v>90</v>
      </c>
      <c r="M157" s="15" t="s">
        <v>49</v>
      </c>
      <c r="N157" s="22"/>
      <c r="O157" s="15">
        <v>1</v>
      </c>
    </row>
    <row r="158" spans="1:15" ht="18" customHeight="1" x14ac:dyDescent="0.25">
      <c r="A158" s="15" t="s">
        <v>342</v>
      </c>
      <c r="B158" s="15">
        <v>28</v>
      </c>
      <c r="C158" s="15">
        <v>12</v>
      </c>
      <c r="D158" s="16" t="s">
        <v>379</v>
      </c>
      <c r="E158" s="15">
        <v>150</v>
      </c>
      <c r="F158" s="15">
        <v>200</v>
      </c>
      <c r="G158" s="15">
        <v>2</v>
      </c>
      <c r="H158" s="15" t="s">
        <v>137</v>
      </c>
      <c r="I158" s="15" t="s">
        <v>138</v>
      </c>
      <c r="J158" s="15">
        <v>1</v>
      </c>
      <c r="K158" s="17">
        <v>-70.5</v>
      </c>
      <c r="L158" s="15">
        <v>0</v>
      </c>
      <c r="M158" s="15" t="s">
        <v>52</v>
      </c>
      <c r="N158" s="22"/>
      <c r="O158" s="15">
        <v>0</v>
      </c>
    </row>
    <row r="159" spans="1:15" ht="18" customHeight="1" x14ac:dyDescent="0.25">
      <c r="A159" s="15" t="s">
        <v>342</v>
      </c>
      <c r="B159" s="15">
        <v>29</v>
      </c>
      <c r="C159" s="15">
        <v>4</v>
      </c>
      <c r="D159" s="16" t="s">
        <v>380</v>
      </c>
      <c r="E159" s="15">
        <v>150</v>
      </c>
      <c r="F159" s="15">
        <v>200</v>
      </c>
      <c r="G159" s="15">
        <v>2</v>
      </c>
      <c r="H159" s="15" t="s">
        <v>137</v>
      </c>
      <c r="I159" s="15" t="s">
        <v>138</v>
      </c>
      <c r="J159" s="15">
        <v>1</v>
      </c>
      <c r="K159" s="17">
        <v>-81.5</v>
      </c>
      <c r="L159" s="15">
        <v>45</v>
      </c>
      <c r="M159" s="15" t="s">
        <v>52</v>
      </c>
      <c r="N159" s="22"/>
      <c r="O159" s="15">
        <v>0</v>
      </c>
    </row>
    <row r="160" spans="1:15" ht="18" customHeight="1" x14ac:dyDescent="0.25">
      <c r="A160" s="15" t="s">
        <v>342</v>
      </c>
      <c r="B160" s="15">
        <v>29</v>
      </c>
      <c r="C160" s="15">
        <v>27</v>
      </c>
      <c r="D160" s="16" t="s">
        <v>381</v>
      </c>
      <c r="E160" s="15">
        <v>150</v>
      </c>
      <c r="F160" s="15">
        <v>200</v>
      </c>
      <c r="G160" s="15">
        <v>2</v>
      </c>
      <c r="H160" s="15" t="s">
        <v>137</v>
      </c>
      <c r="I160" s="15"/>
      <c r="J160" s="15">
        <v>0</v>
      </c>
      <c r="K160" s="17"/>
      <c r="L160" s="15">
        <v>45</v>
      </c>
      <c r="M160" s="15" t="s">
        <v>52</v>
      </c>
      <c r="N160" s="22"/>
      <c r="O160" s="15">
        <v>1</v>
      </c>
    </row>
    <row r="161" spans="1:15" ht="18" customHeight="1" x14ac:dyDescent="0.25">
      <c r="A161" s="15" t="s">
        <v>342</v>
      </c>
      <c r="B161" s="15">
        <v>30</v>
      </c>
      <c r="C161" s="15">
        <v>19</v>
      </c>
      <c r="D161" s="16" t="s">
        <v>382</v>
      </c>
      <c r="E161" s="15">
        <v>150</v>
      </c>
      <c r="F161" s="15">
        <v>200</v>
      </c>
      <c r="G161" s="15">
        <v>2</v>
      </c>
      <c r="H161" s="15" t="s">
        <v>137</v>
      </c>
      <c r="I161" s="15"/>
      <c r="J161" s="15">
        <v>0</v>
      </c>
      <c r="K161" s="17"/>
      <c r="L161" s="15">
        <v>90</v>
      </c>
      <c r="M161" s="15" t="s">
        <v>52</v>
      </c>
      <c r="N161" s="22"/>
      <c r="O161" s="15">
        <v>1</v>
      </c>
    </row>
    <row r="162" spans="1:15" ht="18" customHeight="1" x14ac:dyDescent="0.25">
      <c r="A162" s="15" t="s">
        <v>342</v>
      </c>
      <c r="B162" s="15">
        <v>31</v>
      </c>
      <c r="C162" s="15">
        <v>12</v>
      </c>
      <c r="D162" s="16" t="s">
        <v>383</v>
      </c>
      <c r="E162" s="15">
        <v>150</v>
      </c>
      <c r="F162" s="15">
        <v>210</v>
      </c>
      <c r="G162" s="15">
        <v>2</v>
      </c>
      <c r="H162" s="15" t="s">
        <v>140</v>
      </c>
      <c r="I162" s="15" t="s">
        <v>141</v>
      </c>
      <c r="J162" s="15">
        <v>1</v>
      </c>
      <c r="K162" s="17">
        <v>-71</v>
      </c>
      <c r="L162" s="15">
        <v>0</v>
      </c>
      <c r="M162" s="15" t="s">
        <v>49</v>
      </c>
      <c r="N162" s="22"/>
      <c r="O162" s="15">
        <v>0</v>
      </c>
    </row>
    <row r="163" spans="1:15" ht="18" customHeight="1" x14ac:dyDescent="0.25">
      <c r="A163" s="15" t="s">
        <v>342</v>
      </c>
      <c r="B163" s="15">
        <v>32</v>
      </c>
      <c r="C163" s="15">
        <v>4</v>
      </c>
      <c r="D163" s="16" t="s">
        <v>384</v>
      </c>
      <c r="E163" s="15">
        <v>150</v>
      </c>
      <c r="F163" s="15">
        <v>210</v>
      </c>
      <c r="G163" s="15">
        <v>2</v>
      </c>
      <c r="H163" s="15" t="s">
        <v>140</v>
      </c>
      <c r="I163" s="15" t="s">
        <v>141</v>
      </c>
      <c r="J163" s="15">
        <v>1</v>
      </c>
      <c r="K163" s="17">
        <v>-73.5</v>
      </c>
      <c r="L163" s="15">
        <v>45</v>
      </c>
      <c r="M163" s="15" t="s">
        <v>49</v>
      </c>
      <c r="N163" s="22"/>
      <c r="O163" s="15">
        <v>0</v>
      </c>
    </row>
    <row r="164" spans="1:15" ht="18" customHeight="1" x14ac:dyDescent="0.25">
      <c r="A164" s="15" t="s">
        <v>342</v>
      </c>
      <c r="B164" s="15">
        <v>32</v>
      </c>
      <c r="C164" s="15">
        <v>27</v>
      </c>
      <c r="D164" s="16" t="s">
        <v>385</v>
      </c>
      <c r="E164" s="15">
        <v>150</v>
      </c>
      <c r="F164" s="15">
        <v>210</v>
      </c>
      <c r="G164" s="15">
        <v>2</v>
      </c>
      <c r="H164" s="15" t="s">
        <v>140</v>
      </c>
      <c r="I164" s="15" t="s">
        <v>141</v>
      </c>
      <c r="J164" s="15">
        <v>1</v>
      </c>
      <c r="K164" s="17">
        <v>-75.5</v>
      </c>
      <c r="L164" s="15">
        <v>45</v>
      </c>
      <c r="M164" s="15" t="s">
        <v>49</v>
      </c>
      <c r="N164" s="22"/>
      <c r="O164" s="15">
        <v>0</v>
      </c>
    </row>
    <row r="165" spans="1:15" ht="18" customHeight="1" x14ac:dyDescent="0.25">
      <c r="A165" s="15" t="s">
        <v>342</v>
      </c>
      <c r="B165" s="15">
        <v>33</v>
      </c>
      <c r="C165" s="15">
        <v>19</v>
      </c>
      <c r="D165" s="16" t="s">
        <v>386</v>
      </c>
      <c r="E165" s="15">
        <v>150</v>
      </c>
      <c r="F165" s="15">
        <v>210</v>
      </c>
      <c r="G165" s="15">
        <v>2</v>
      </c>
      <c r="H165" s="15" t="s">
        <v>140</v>
      </c>
      <c r="I165" s="15"/>
      <c r="J165" s="15">
        <v>0</v>
      </c>
      <c r="K165" s="17"/>
      <c r="L165" s="15">
        <v>90</v>
      </c>
      <c r="M165" s="15" t="s">
        <v>49</v>
      </c>
      <c r="N165" s="22"/>
      <c r="O165" s="15">
        <v>1</v>
      </c>
    </row>
    <row r="166" spans="1:15" ht="18" customHeight="1" x14ac:dyDescent="0.25">
      <c r="A166" s="15" t="s">
        <v>342</v>
      </c>
      <c r="B166" s="15">
        <v>34</v>
      </c>
      <c r="C166" s="15">
        <v>12</v>
      </c>
      <c r="D166" s="16" t="s">
        <v>387</v>
      </c>
      <c r="E166" s="15">
        <v>150</v>
      </c>
      <c r="F166" s="15">
        <v>220</v>
      </c>
      <c r="G166" s="15">
        <v>2</v>
      </c>
      <c r="H166" s="15" t="s">
        <v>143</v>
      </c>
      <c r="I166" s="15" t="s">
        <v>144</v>
      </c>
      <c r="J166" s="15">
        <v>1</v>
      </c>
      <c r="K166" s="17">
        <v>-68</v>
      </c>
      <c r="L166" s="15">
        <v>0</v>
      </c>
      <c r="M166" s="15" t="s">
        <v>45</v>
      </c>
      <c r="N166" s="22"/>
      <c r="O166" s="15">
        <v>0</v>
      </c>
    </row>
    <row r="167" spans="1:15" ht="18" customHeight="1" x14ac:dyDescent="0.25">
      <c r="A167" s="15" t="s">
        <v>342</v>
      </c>
      <c r="B167" s="15">
        <v>35</v>
      </c>
      <c r="C167" s="15">
        <v>4</v>
      </c>
      <c r="D167" s="16" t="s">
        <v>388</v>
      </c>
      <c r="E167" s="15">
        <v>150</v>
      </c>
      <c r="F167" s="15">
        <v>220</v>
      </c>
      <c r="G167" s="15">
        <v>2</v>
      </c>
      <c r="H167" s="15" t="s">
        <v>143</v>
      </c>
      <c r="I167" s="15"/>
      <c r="J167" s="15">
        <v>0</v>
      </c>
      <c r="K167" s="17"/>
      <c r="L167" s="15">
        <v>45</v>
      </c>
      <c r="M167" s="15" t="s">
        <v>45</v>
      </c>
      <c r="N167" s="22"/>
      <c r="O167" s="15">
        <v>1</v>
      </c>
    </row>
    <row r="168" spans="1:15" ht="18" customHeight="1" x14ac:dyDescent="0.25">
      <c r="A168" s="15" t="s">
        <v>342</v>
      </c>
      <c r="B168" s="15">
        <v>35</v>
      </c>
      <c r="C168" s="15">
        <v>27</v>
      </c>
      <c r="D168" s="16" t="s">
        <v>389</v>
      </c>
      <c r="E168" s="15">
        <v>150</v>
      </c>
      <c r="F168" s="15">
        <v>220</v>
      </c>
      <c r="G168" s="15">
        <v>2</v>
      </c>
      <c r="H168" s="15" t="s">
        <v>143</v>
      </c>
      <c r="I168" s="15" t="s">
        <v>144</v>
      </c>
      <c r="J168" s="15">
        <v>1</v>
      </c>
      <c r="K168" s="17">
        <v>-75.5</v>
      </c>
      <c r="L168" s="15">
        <v>45</v>
      </c>
      <c r="M168" s="15" t="s">
        <v>45</v>
      </c>
      <c r="N168" s="22"/>
      <c r="O168" s="15">
        <v>0</v>
      </c>
    </row>
    <row r="169" spans="1:15" ht="18" customHeight="1" x14ac:dyDescent="0.25">
      <c r="A169" s="15" t="s">
        <v>342</v>
      </c>
      <c r="B169" s="15">
        <v>36</v>
      </c>
      <c r="C169" s="15">
        <v>19</v>
      </c>
      <c r="D169" s="16" t="s">
        <v>390</v>
      </c>
      <c r="E169" s="15">
        <v>150</v>
      </c>
      <c r="F169" s="15">
        <v>220</v>
      </c>
      <c r="G169" s="15">
        <v>2</v>
      </c>
      <c r="H169" s="15" t="s">
        <v>143</v>
      </c>
      <c r="I169" s="15"/>
      <c r="J169" s="15">
        <v>0</v>
      </c>
      <c r="K169" s="17"/>
      <c r="L169" s="15">
        <v>90</v>
      </c>
      <c r="M169" s="15" t="s">
        <v>45</v>
      </c>
      <c r="N169" s="22"/>
      <c r="O169" s="15">
        <v>1</v>
      </c>
    </row>
    <row r="170" spans="1:15" ht="18" customHeight="1" x14ac:dyDescent="0.25">
      <c r="A170" s="15" t="s">
        <v>342</v>
      </c>
      <c r="B170" s="15">
        <v>37</v>
      </c>
      <c r="C170" s="15">
        <v>12</v>
      </c>
      <c r="D170" s="16" t="s">
        <v>391</v>
      </c>
      <c r="E170" s="15">
        <v>150</v>
      </c>
      <c r="F170" s="15">
        <v>230</v>
      </c>
      <c r="G170" s="15">
        <v>2</v>
      </c>
      <c r="H170" s="15" t="s">
        <v>146</v>
      </c>
      <c r="I170" s="15" t="s">
        <v>147</v>
      </c>
      <c r="J170" s="15">
        <v>1</v>
      </c>
      <c r="K170" s="17">
        <v>-72</v>
      </c>
      <c r="L170" s="15">
        <v>0</v>
      </c>
      <c r="M170" s="15" t="s">
        <v>50</v>
      </c>
      <c r="N170" s="22"/>
      <c r="O170" s="15">
        <v>0</v>
      </c>
    </row>
    <row r="171" spans="1:15" ht="18" customHeight="1" x14ac:dyDescent="0.25">
      <c r="A171" s="15" t="s">
        <v>342</v>
      </c>
      <c r="B171" s="15">
        <v>38</v>
      </c>
      <c r="C171" s="15">
        <v>4</v>
      </c>
      <c r="D171" s="16" t="s">
        <v>392</v>
      </c>
      <c r="E171" s="15">
        <v>150</v>
      </c>
      <c r="F171" s="15">
        <v>230</v>
      </c>
      <c r="G171" s="15">
        <v>2</v>
      </c>
      <c r="H171" s="15" t="s">
        <v>146</v>
      </c>
      <c r="I171" s="15"/>
      <c r="J171" s="15">
        <v>0</v>
      </c>
      <c r="K171" s="17"/>
      <c r="L171" s="15">
        <v>45</v>
      </c>
      <c r="M171" s="15" t="s">
        <v>50</v>
      </c>
      <c r="N171" s="22"/>
      <c r="O171" s="15">
        <v>1</v>
      </c>
    </row>
    <row r="172" spans="1:15" ht="18" customHeight="1" x14ac:dyDescent="0.25">
      <c r="A172" s="15" t="s">
        <v>342</v>
      </c>
      <c r="B172" s="15">
        <v>38</v>
      </c>
      <c r="C172" s="15">
        <v>27</v>
      </c>
      <c r="D172" s="16" t="s">
        <v>393</v>
      </c>
      <c r="E172" s="15">
        <v>150</v>
      </c>
      <c r="F172" s="15">
        <v>230</v>
      </c>
      <c r="G172" s="15">
        <v>2</v>
      </c>
      <c r="H172" s="15" t="s">
        <v>146</v>
      </c>
      <c r="I172" s="15"/>
      <c r="J172" s="15">
        <v>0</v>
      </c>
      <c r="K172" s="17"/>
      <c r="L172" s="15">
        <v>45</v>
      </c>
      <c r="M172" s="15" t="s">
        <v>50</v>
      </c>
      <c r="N172" s="22"/>
      <c r="O172" s="15">
        <v>1</v>
      </c>
    </row>
    <row r="173" spans="1:15" ht="18" customHeight="1" x14ac:dyDescent="0.25">
      <c r="A173" s="15" t="s">
        <v>342</v>
      </c>
      <c r="B173" s="15">
        <v>39</v>
      </c>
      <c r="C173" s="15">
        <v>19</v>
      </c>
      <c r="D173" s="16" t="s">
        <v>394</v>
      </c>
      <c r="E173" s="15">
        <v>150</v>
      </c>
      <c r="F173" s="15">
        <v>230</v>
      </c>
      <c r="G173" s="15">
        <v>2</v>
      </c>
      <c r="H173" s="15" t="s">
        <v>146</v>
      </c>
      <c r="I173" s="15"/>
      <c r="J173" s="15">
        <v>0</v>
      </c>
      <c r="K173" s="17"/>
      <c r="L173" s="15">
        <v>90</v>
      </c>
      <c r="M173" s="15" t="s">
        <v>50</v>
      </c>
      <c r="N173" s="22"/>
      <c r="O173" s="15">
        <v>1</v>
      </c>
    </row>
    <row r="174" spans="1:15" ht="18" customHeight="1" x14ac:dyDescent="0.25">
      <c r="A174" s="15" t="s">
        <v>342</v>
      </c>
      <c r="B174" s="15">
        <v>40</v>
      </c>
      <c r="C174" s="15">
        <v>12</v>
      </c>
      <c r="D174" s="16" t="s">
        <v>395</v>
      </c>
      <c r="E174" s="15">
        <v>150</v>
      </c>
      <c r="F174" s="15">
        <v>240</v>
      </c>
      <c r="G174" s="15">
        <v>2</v>
      </c>
      <c r="H174" s="15" t="s">
        <v>150</v>
      </c>
      <c r="I174" s="15" t="s">
        <v>151</v>
      </c>
      <c r="J174" s="15">
        <v>1</v>
      </c>
      <c r="K174" s="17">
        <v>-68.5</v>
      </c>
      <c r="L174" s="15">
        <v>0</v>
      </c>
      <c r="M174" s="15" t="s">
        <v>48</v>
      </c>
      <c r="N174" s="22"/>
      <c r="O174" s="15">
        <v>0</v>
      </c>
    </row>
    <row r="175" spans="1:15" ht="18" customHeight="1" x14ac:dyDescent="0.25">
      <c r="A175" s="15" t="s">
        <v>342</v>
      </c>
      <c r="B175" s="15">
        <v>41</v>
      </c>
      <c r="C175" s="15">
        <v>4</v>
      </c>
      <c r="D175" s="16" t="s">
        <v>396</v>
      </c>
      <c r="E175" s="15">
        <v>150</v>
      </c>
      <c r="F175" s="15">
        <v>240</v>
      </c>
      <c r="G175" s="15">
        <v>2</v>
      </c>
      <c r="H175" s="15" t="s">
        <v>150</v>
      </c>
      <c r="I175" s="15"/>
      <c r="J175" s="15">
        <v>0</v>
      </c>
      <c r="K175" s="17"/>
      <c r="L175" s="15">
        <v>45</v>
      </c>
      <c r="M175" s="15" t="s">
        <v>48</v>
      </c>
      <c r="N175" s="22"/>
      <c r="O175" s="15">
        <v>1</v>
      </c>
    </row>
    <row r="176" spans="1:15" ht="18" customHeight="1" x14ac:dyDescent="0.25">
      <c r="A176" s="15" t="s">
        <v>342</v>
      </c>
      <c r="B176" s="15">
        <v>41</v>
      </c>
      <c r="C176" s="15">
        <v>27</v>
      </c>
      <c r="D176" s="16" t="s">
        <v>397</v>
      </c>
      <c r="E176" s="15">
        <v>150</v>
      </c>
      <c r="F176" s="15">
        <v>240</v>
      </c>
      <c r="G176" s="15">
        <v>2</v>
      </c>
      <c r="H176" s="15" t="s">
        <v>150</v>
      </c>
      <c r="I176" s="15"/>
      <c r="J176" s="15">
        <v>0</v>
      </c>
      <c r="K176" s="17"/>
      <c r="L176" s="15">
        <v>45</v>
      </c>
      <c r="M176" s="15" t="s">
        <v>48</v>
      </c>
      <c r="N176" s="22"/>
      <c r="O176" s="15">
        <v>1</v>
      </c>
    </row>
    <row r="177" spans="1:15" ht="18" customHeight="1" x14ac:dyDescent="0.25">
      <c r="A177" s="15" t="s">
        <v>342</v>
      </c>
      <c r="B177" s="15">
        <v>42</v>
      </c>
      <c r="C177" s="15">
        <v>19</v>
      </c>
      <c r="D177" s="16" t="s">
        <v>398</v>
      </c>
      <c r="E177" s="15">
        <v>150</v>
      </c>
      <c r="F177" s="15">
        <v>240</v>
      </c>
      <c r="G177" s="15">
        <v>2</v>
      </c>
      <c r="H177" s="15" t="s">
        <v>150</v>
      </c>
      <c r="I177" s="15"/>
      <c r="J177" s="15">
        <v>0</v>
      </c>
      <c r="K177" s="17"/>
      <c r="L177" s="15">
        <v>90</v>
      </c>
      <c r="M177" s="15" t="s">
        <v>48</v>
      </c>
      <c r="N177" s="22"/>
      <c r="O177" s="15">
        <v>1</v>
      </c>
    </row>
    <row r="178" spans="1:15" ht="18" customHeight="1" x14ac:dyDescent="0.25">
      <c r="A178" s="15" t="s">
        <v>342</v>
      </c>
      <c r="B178" s="15">
        <v>43</v>
      </c>
      <c r="C178" s="15">
        <v>12</v>
      </c>
      <c r="D178" s="16" t="s">
        <v>399</v>
      </c>
      <c r="E178" s="15">
        <v>150</v>
      </c>
      <c r="F178" s="15">
        <v>250</v>
      </c>
      <c r="G178" s="15">
        <v>2</v>
      </c>
      <c r="H178" s="15" t="s">
        <v>153</v>
      </c>
      <c r="I178" s="15"/>
      <c r="J178" s="15">
        <v>0</v>
      </c>
      <c r="K178" s="17"/>
      <c r="L178" s="15">
        <v>0</v>
      </c>
      <c r="M178" s="15" t="s">
        <v>45</v>
      </c>
      <c r="N178" s="22"/>
      <c r="O178" s="15">
        <v>1</v>
      </c>
    </row>
    <row r="179" spans="1:15" ht="18" customHeight="1" x14ac:dyDescent="0.25">
      <c r="A179" s="15" t="s">
        <v>342</v>
      </c>
      <c r="B179" s="15">
        <v>44</v>
      </c>
      <c r="C179" s="15">
        <v>4</v>
      </c>
      <c r="D179" s="16" t="s">
        <v>400</v>
      </c>
      <c r="E179" s="15">
        <v>150</v>
      </c>
      <c r="F179" s="15">
        <v>250</v>
      </c>
      <c r="G179" s="15">
        <v>2</v>
      </c>
      <c r="H179" s="15" t="s">
        <v>153</v>
      </c>
      <c r="I179" s="15"/>
      <c r="J179" s="15">
        <v>0</v>
      </c>
      <c r="K179" s="17"/>
      <c r="L179" s="15">
        <v>45</v>
      </c>
      <c r="M179" s="15" t="s">
        <v>45</v>
      </c>
      <c r="N179" s="22"/>
      <c r="O179" s="15">
        <v>1</v>
      </c>
    </row>
    <row r="180" spans="1:15" ht="18" customHeight="1" x14ac:dyDescent="0.25">
      <c r="A180" s="15" t="s">
        <v>342</v>
      </c>
      <c r="B180" s="15">
        <v>44</v>
      </c>
      <c r="C180" s="15">
        <v>27</v>
      </c>
      <c r="D180" s="16" t="s">
        <v>401</v>
      </c>
      <c r="E180" s="15">
        <v>150</v>
      </c>
      <c r="F180" s="15">
        <v>250</v>
      </c>
      <c r="G180" s="15">
        <v>2</v>
      </c>
      <c r="H180" s="15" t="s">
        <v>153</v>
      </c>
      <c r="I180" s="15" t="s">
        <v>154</v>
      </c>
      <c r="J180" s="15">
        <v>1</v>
      </c>
      <c r="K180" s="17">
        <v>-74</v>
      </c>
      <c r="L180" s="15">
        <v>45</v>
      </c>
      <c r="M180" s="15" t="s">
        <v>45</v>
      </c>
      <c r="N180" s="22"/>
      <c r="O180" s="15">
        <v>0</v>
      </c>
    </row>
    <row r="181" spans="1:15" ht="18" customHeight="1" x14ac:dyDescent="0.25">
      <c r="A181" s="15" t="s">
        <v>342</v>
      </c>
      <c r="B181" s="15">
        <v>45</v>
      </c>
      <c r="C181" s="15">
        <v>19</v>
      </c>
      <c r="D181" s="16" t="s">
        <v>402</v>
      </c>
      <c r="E181" s="15">
        <v>150</v>
      </c>
      <c r="F181" s="15">
        <v>250</v>
      </c>
      <c r="G181" s="15">
        <v>2</v>
      </c>
      <c r="H181" s="15" t="s">
        <v>153</v>
      </c>
      <c r="I181" s="15"/>
      <c r="J181" s="15">
        <v>0</v>
      </c>
      <c r="K181" s="17"/>
      <c r="L181" s="15">
        <v>90</v>
      </c>
      <c r="M181" s="15" t="s">
        <v>45</v>
      </c>
      <c r="N181" s="22"/>
      <c r="O181" s="15">
        <v>1</v>
      </c>
    </row>
    <row r="182" spans="1:15" ht="18" customHeight="1" x14ac:dyDescent="0.25">
      <c r="A182" s="15" t="s">
        <v>88</v>
      </c>
      <c r="B182" s="15">
        <v>1</v>
      </c>
      <c r="C182" s="15">
        <v>4</v>
      </c>
      <c r="D182" s="16" t="s">
        <v>403</v>
      </c>
      <c r="E182" s="15">
        <v>150</v>
      </c>
      <c r="F182" s="15">
        <v>150</v>
      </c>
      <c r="G182" s="15">
        <v>2</v>
      </c>
      <c r="H182" s="15" t="s">
        <v>122</v>
      </c>
      <c r="I182" s="15" t="s">
        <v>123</v>
      </c>
      <c r="J182" s="15">
        <v>1</v>
      </c>
      <c r="K182" s="17">
        <v>-63.5</v>
      </c>
      <c r="L182" s="15">
        <v>0</v>
      </c>
      <c r="M182" s="15" t="s">
        <v>45</v>
      </c>
      <c r="N182" s="22"/>
      <c r="O182" s="15">
        <v>0</v>
      </c>
    </row>
    <row r="183" spans="1:15" ht="18" customHeight="1" x14ac:dyDescent="0.25">
      <c r="A183" s="15" t="s">
        <v>88</v>
      </c>
      <c r="B183" s="15">
        <v>1</v>
      </c>
      <c r="C183" s="15">
        <v>10</v>
      </c>
      <c r="D183" s="16" t="s">
        <v>404</v>
      </c>
      <c r="E183" s="15">
        <v>150</v>
      </c>
      <c r="F183" s="15">
        <v>150</v>
      </c>
      <c r="G183" s="15">
        <v>2</v>
      </c>
      <c r="H183" s="15" t="s">
        <v>122</v>
      </c>
      <c r="I183" s="15" t="s">
        <v>123</v>
      </c>
      <c r="J183" s="15">
        <v>1</v>
      </c>
      <c r="K183" s="17">
        <v>-64</v>
      </c>
      <c r="L183" s="15">
        <v>0</v>
      </c>
      <c r="M183" s="15" t="s">
        <v>45</v>
      </c>
      <c r="N183" s="22"/>
      <c r="O183" s="15">
        <v>0</v>
      </c>
    </row>
    <row r="184" spans="1:15" ht="18" customHeight="1" x14ac:dyDescent="0.25">
      <c r="A184" s="15" t="s">
        <v>88</v>
      </c>
      <c r="B184" s="15">
        <v>1</v>
      </c>
      <c r="C184" s="15">
        <v>16</v>
      </c>
      <c r="D184" s="16" t="s">
        <v>405</v>
      </c>
      <c r="E184" s="15">
        <v>150</v>
      </c>
      <c r="F184" s="15">
        <v>150</v>
      </c>
      <c r="G184" s="15">
        <v>2</v>
      </c>
      <c r="H184" s="15" t="s">
        <v>122</v>
      </c>
      <c r="I184" s="15" t="s">
        <v>123</v>
      </c>
      <c r="J184" s="15">
        <v>1</v>
      </c>
      <c r="K184" s="17">
        <v>-64.5</v>
      </c>
      <c r="L184" s="15">
        <v>0</v>
      </c>
      <c r="M184" s="15" t="s">
        <v>45</v>
      </c>
      <c r="N184" s="22"/>
      <c r="O184" s="15">
        <v>0</v>
      </c>
    </row>
    <row r="185" spans="1:15" ht="18" customHeight="1" x14ac:dyDescent="0.25">
      <c r="A185" s="15" t="s">
        <v>88</v>
      </c>
      <c r="B185" s="15">
        <v>1</v>
      </c>
      <c r="C185" s="15">
        <v>22</v>
      </c>
      <c r="D185" s="16" t="s">
        <v>406</v>
      </c>
      <c r="E185" s="15">
        <v>150</v>
      </c>
      <c r="F185" s="15">
        <v>150</v>
      </c>
      <c r="G185" s="15">
        <v>2</v>
      </c>
      <c r="H185" s="15" t="s">
        <v>122</v>
      </c>
      <c r="I185" s="15" t="s">
        <v>123</v>
      </c>
      <c r="J185" s="15">
        <v>1</v>
      </c>
      <c r="K185" s="17">
        <v>-63.5</v>
      </c>
      <c r="L185" s="15">
        <v>0</v>
      </c>
      <c r="M185" s="15" t="s">
        <v>45</v>
      </c>
      <c r="N185" s="22"/>
      <c r="O185" s="15">
        <v>0</v>
      </c>
    </row>
    <row r="186" spans="1:15" ht="18" customHeight="1" x14ac:dyDescent="0.25">
      <c r="A186" s="15" t="s">
        <v>88</v>
      </c>
      <c r="B186" s="15">
        <v>1</v>
      </c>
      <c r="C186" s="15">
        <v>28</v>
      </c>
      <c r="D186" s="16" t="s">
        <v>407</v>
      </c>
      <c r="E186" s="15">
        <v>150</v>
      </c>
      <c r="F186" s="15">
        <v>150</v>
      </c>
      <c r="G186" s="15">
        <v>2</v>
      </c>
      <c r="H186" s="15" t="s">
        <v>122</v>
      </c>
      <c r="I186" s="15" t="s">
        <v>123</v>
      </c>
      <c r="J186" s="15">
        <v>1</v>
      </c>
      <c r="K186" s="17">
        <v>-66</v>
      </c>
      <c r="L186" s="15">
        <v>0</v>
      </c>
      <c r="M186" s="15" t="s">
        <v>45</v>
      </c>
      <c r="N186" s="22"/>
      <c r="O186" s="15">
        <v>0</v>
      </c>
    </row>
    <row r="187" spans="1:15" ht="18" customHeight="1" x14ac:dyDescent="0.25">
      <c r="A187" s="15" t="s">
        <v>88</v>
      </c>
      <c r="B187" s="15">
        <v>2</v>
      </c>
      <c r="C187" s="15">
        <v>4</v>
      </c>
      <c r="D187" s="16" t="s">
        <v>408</v>
      </c>
      <c r="E187" s="15">
        <v>150</v>
      </c>
      <c r="F187" s="15">
        <v>150</v>
      </c>
      <c r="G187" s="15">
        <v>2</v>
      </c>
      <c r="H187" s="15" t="s">
        <v>122</v>
      </c>
      <c r="I187" s="15" t="s">
        <v>123</v>
      </c>
      <c r="J187" s="15">
        <v>1</v>
      </c>
      <c r="K187" s="17">
        <v>-65.5</v>
      </c>
      <c r="L187" s="15">
        <v>0</v>
      </c>
      <c r="M187" s="15" t="s">
        <v>48</v>
      </c>
      <c r="N187" s="22"/>
      <c r="O187" s="15">
        <v>0</v>
      </c>
    </row>
    <row r="188" spans="1:15" ht="18" customHeight="1" x14ac:dyDescent="0.25">
      <c r="A188" s="15" t="s">
        <v>88</v>
      </c>
      <c r="B188" s="15">
        <v>2</v>
      </c>
      <c r="C188" s="15">
        <v>10</v>
      </c>
      <c r="D188" s="16" t="s">
        <v>409</v>
      </c>
      <c r="E188" s="15">
        <v>150</v>
      </c>
      <c r="F188" s="15">
        <v>150</v>
      </c>
      <c r="G188" s="15">
        <v>2</v>
      </c>
      <c r="H188" s="15" t="s">
        <v>122</v>
      </c>
      <c r="I188" s="15" t="s">
        <v>123</v>
      </c>
      <c r="J188" s="15">
        <v>1</v>
      </c>
      <c r="K188" s="17">
        <v>-66.5</v>
      </c>
      <c r="L188" s="15">
        <v>0</v>
      </c>
      <c r="M188" s="15" t="s">
        <v>48</v>
      </c>
      <c r="N188" s="22"/>
      <c r="O188" s="15">
        <v>0</v>
      </c>
    </row>
    <row r="189" spans="1:15" ht="18" customHeight="1" x14ac:dyDescent="0.25">
      <c r="A189" s="15" t="s">
        <v>88</v>
      </c>
      <c r="B189" s="15">
        <v>2</v>
      </c>
      <c r="C189" s="15">
        <v>16</v>
      </c>
      <c r="D189" s="16" t="s">
        <v>410</v>
      </c>
      <c r="E189" s="15">
        <v>150</v>
      </c>
      <c r="F189" s="15">
        <v>150</v>
      </c>
      <c r="G189" s="15">
        <v>2</v>
      </c>
      <c r="H189" s="15" t="s">
        <v>122</v>
      </c>
      <c r="I189" s="15" t="s">
        <v>123</v>
      </c>
      <c r="J189" s="15">
        <v>1</v>
      </c>
      <c r="K189" s="17">
        <v>-67.5</v>
      </c>
      <c r="L189" s="15">
        <v>0</v>
      </c>
      <c r="M189" s="15" t="s">
        <v>48</v>
      </c>
      <c r="N189" s="22"/>
      <c r="O189" s="15">
        <v>0</v>
      </c>
    </row>
    <row r="190" spans="1:15" ht="18" customHeight="1" x14ac:dyDescent="0.25">
      <c r="A190" s="15" t="s">
        <v>88</v>
      </c>
      <c r="B190" s="15">
        <v>2</v>
      </c>
      <c r="C190" s="15">
        <v>22</v>
      </c>
      <c r="D190" s="16" t="s">
        <v>411</v>
      </c>
      <c r="E190" s="15">
        <v>150</v>
      </c>
      <c r="F190" s="15">
        <v>150</v>
      </c>
      <c r="G190" s="15">
        <v>2</v>
      </c>
      <c r="H190" s="15" t="s">
        <v>122</v>
      </c>
      <c r="I190" s="15" t="s">
        <v>123</v>
      </c>
      <c r="J190" s="15">
        <v>1</v>
      </c>
      <c r="K190" s="17">
        <v>-67</v>
      </c>
      <c r="L190" s="15">
        <v>0</v>
      </c>
      <c r="M190" s="15" t="s">
        <v>48</v>
      </c>
      <c r="N190" s="22"/>
      <c r="O190" s="15">
        <v>0</v>
      </c>
    </row>
    <row r="191" spans="1:15" ht="18" customHeight="1" x14ac:dyDescent="0.25">
      <c r="A191" s="15" t="s">
        <v>88</v>
      </c>
      <c r="B191" s="15">
        <v>2</v>
      </c>
      <c r="C191" s="15">
        <v>28</v>
      </c>
      <c r="D191" s="16" t="s">
        <v>412</v>
      </c>
      <c r="E191" s="15">
        <v>150</v>
      </c>
      <c r="F191" s="15">
        <v>150</v>
      </c>
      <c r="G191" s="15">
        <v>2</v>
      </c>
      <c r="H191" s="15" t="s">
        <v>122</v>
      </c>
      <c r="I191" s="15" t="s">
        <v>123</v>
      </c>
      <c r="J191" s="15">
        <v>1</v>
      </c>
      <c r="K191" s="17">
        <v>-65.5</v>
      </c>
      <c r="L191" s="15">
        <v>0</v>
      </c>
      <c r="M191" s="15" t="s">
        <v>48</v>
      </c>
      <c r="N191" s="22"/>
      <c r="O191" s="15">
        <v>0</v>
      </c>
    </row>
    <row r="192" spans="1:15" ht="18" customHeight="1" x14ac:dyDescent="0.25">
      <c r="A192" s="15" t="s">
        <v>88</v>
      </c>
      <c r="B192" s="15">
        <v>3</v>
      </c>
      <c r="C192" s="15">
        <v>4</v>
      </c>
      <c r="D192" s="16" t="s">
        <v>413</v>
      </c>
      <c r="E192" s="15">
        <v>150</v>
      </c>
      <c r="F192" s="15">
        <v>150</v>
      </c>
      <c r="G192" s="15">
        <v>2</v>
      </c>
      <c r="H192" s="15" t="s">
        <v>122</v>
      </c>
      <c r="I192" s="15" t="s">
        <v>123</v>
      </c>
      <c r="J192" s="15">
        <v>1</v>
      </c>
      <c r="K192" s="17">
        <v>-65</v>
      </c>
      <c r="L192" s="15">
        <v>0</v>
      </c>
      <c r="M192" s="15" t="s">
        <v>49</v>
      </c>
      <c r="N192" s="22"/>
      <c r="O192" s="15">
        <v>0</v>
      </c>
    </row>
    <row r="193" spans="1:15" ht="18" customHeight="1" x14ac:dyDescent="0.25">
      <c r="A193" s="15" t="s">
        <v>88</v>
      </c>
      <c r="B193" s="15">
        <v>3</v>
      </c>
      <c r="C193" s="15">
        <v>10</v>
      </c>
      <c r="D193" s="16" t="s">
        <v>414</v>
      </c>
      <c r="E193" s="15">
        <v>150</v>
      </c>
      <c r="F193" s="15">
        <v>150</v>
      </c>
      <c r="G193" s="15">
        <v>2</v>
      </c>
      <c r="H193" s="15" t="s">
        <v>122</v>
      </c>
      <c r="I193" s="15" t="s">
        <v>123</v>
      </c>
      <c r="J193" s="15">
        <v>1</v>
      </c>
      <c r="K193" s="17">
        <v>-64.5</v>
      </c>
      <c r="L193" s="15">
        <v>0</v>
      </c>
      <c r="M193" s="15" t="s">
        <v>49</v>
      </c>
      <c r="N193" s="22"/>
      <c r="O193" s="15">
        <v>0</v>
      </c>
    </row>
    <row r="194" spans="1:15" ht="18" customHeight="1" x14ac:dyDescent="0.25">
      <c r="A194" s="15" t="s">
        <v>88</v>
      </c>
      <c r="B194" s="15">
        <v>3</v>
      </c>
      <c r="C194" s="15">
        <v>16</v>
      </c>
      <c r="D194" s="16" t="s">
        <v>415</v>
      </c>
      <c r="E194" s="15">
        <v>150</v>
      </c>
      <c r="F194" s="15">
        <v>150</v>
      </c>
      <c r="G194" s="15">
        <v>2</v>
      </c>
      <c r="H194" s="15" t="s">
        <v>122</v>
      </c>
      <c r="I194" s="15" t="s">
        <v>123</v>
      </c>
      <c r="J194" s="15">
        <v>1</v>
      </c>
      <c r="K194" s="17">
        <v>-69.5</v>
      </c>
      <c r="L194" s="15">
        <v>0</v>
      </c>
      <c r="M194" s="15" t="s">
        <v>49</v>
      </c>
      <c r="N194" s="22"/>
      <c r="O194" s="15">
        <v>0</v>
      </c>
    </row>
    <row r="195" spans="1:15" ht="18" customHeight="1" x14ac:dyDescent="0.25">
      <c r="A195" s="15" t="s">
        <v>88</v>
      </c>
      <c r="B195" s="15">
        <v>3</v>
      </c>
      <c r="C195" s="15">
        <v>22</v>
      </c>
      <c r="D195" s="16" t="s">
        <v>416</v>
      </c>
      <c r="E195" s="15">
        <v>150</v>
      </c>
      <c r="F195" s="15">
        <v>150</v>
      </c>
      <c r="G195" s="15">
        <v>2</v>
      </c>
      <c r="H195" s="15" t="s">
        <v>122</v>
      </c>
      <c r="I195" s="15" t="s">
        <v>123</v>
      </c>
      <c r="J195" s="15">
        <v>1</v>
      </c>
      <c r="K195" s="17">
        <v>-65.5</v>
      </c>
      <c r="L195" s="15">
        <v>0</v>
      </c>
      <c r="M195" s="15" t="s">
        <v>49</v>
      </c>
      <c r="N195" s="22"/>
      <c r="O195" s="15">
        <v>0</v>
      </c>
    </row>
    <row r="196" spans="1:15" ht="18" customHeight="1" x14ac:dyDescent="0.25">
      <c r="A196" s="15" t="s">
        <v>88</v>
      </c>
      <c r="B196" s="15">
        <v>3</v>
      </c>
      <c r="C196" s="15">
        <v>28</v>
      </c>
      <c r="D196" s="16" t="s">
        <v>417</v>
      </c>
      <c r="E196" s="15">
        <v>150</v>
      </c>
      <c r="F196" s="15">
        <v>150</v>
      </c>
      <c r="G196" s="15">
        <v>2</v>
      </c>
      <c r="H196" s="15" t="s">
        <v>122</v>
      </c>
      <c r="I196" s="15" t="s">
        <v>123</v>
      </c>
      <c r="J196" s="15">
        <v>1</v>
      </c>
      <c r="K196" s="17">
        <v>-67</v>
      </c>
      <c r="L196" s="15">
        <v>0</v>
      </c>
      <c r="M196" s="15" t="s">
        <v>49</v>
      </c>
      <c r="N196" s="22"/>
      <c r="O196" s="15">
        <v>0</v>
      </c>
    </row>
    <row r="197" spans="1:15" ht="18" customHeight="1" x14ac:dyDescent="0.25">
      <c r="A197" s="15" t="s">
        <v>88</v>
      </c>
      <c r="B197" s="15">
        <v>4</v>
      </c>
      <c r="C197" s="15">
        <v>4</v>
      </c>
      <c r="D197" s="16" t="s">
        <v>418</v>
      </c>
      <c r="E197" s="15">
        <v>150</v>
      </c>
      <c r="F197" s="15">
        <v>150</v>
      </c>
      <c r="G197" s="15">
        <v>2</v>
      </c>
      <c r="H197" s="15" t="s">
        <v>122</v>
      </c>
      <c r="I197" s="15" t="s">
        <v>123</v>
      </c>
      <c r="J197" s="15">
        <v>1</v>
      </c>
      <c r="K197" s="17">
        <v>-71.5</v>
      </c>
      <c r="L197" s="15">
        <v>0</v>
      </c>
      <c r="M197" s="15" t="s">
        <v>50</v>
      </c>
      <c r="N197" s="22"/>
      <c r="O197" s="15">
        <v>0</v>
      </c>
    </row>
    <row r="198" spans="1:15" ht="18" customHeight="1" x14ac:dyDescent="0.25">
      <c r="A198" s="15" t="s">
        <v>88</v>
      </c>
      <c r="B198" s="15">
        <v>4</v>
      </c>
      <c r="C198" s="15">
        <v>10</v>
      </c>
      <c r="D198" s="16" t="s">
        <v>419</v>
      </c>
      <c r="E198" s="15">
        <v>150</v>
      </c>
      <c r="F198" s="15">
        <v>150</v>
      </c>
      <c r="G198" s="15">
        <v>2</v>
      </c>
      <c r="H198" s="15" t="s">
        <v>122</v>
      </c>
      <c r="I198" s="15" t="s">
        <v>123</v>
      </c>
      <c r="J198" s="15">
        <v>1</v>
      </c>
      <c r="K198" s="17">
        <v>-67</v>
      </c>
      <c r="L198" s="15">
        <v>0</v>
      </c>
      <c r="M198" s="15" t="s">
        <v>50</v>
      </c>
      <c r="N198" s="22"/>
      <c r="O198" s="15">
        <v>0</v>
      </c>
    </row>
    <row r="199" spans="1:15" ht="18" customHeight="1" x14ac:dyDescent="0.25">
      <c r="A199" s="15" t="s">
        <v>88</v>
      </c>
      <c r="B199" s="15">
        <v>4</v>
      </c>
      <c r="C199" s="15">
        <v>16</v>
      </c>
      <c r="D199" s="16" t="s">
        <v>420</v>
      </c>
      <c r="E199" s="15">
        <v>150</v>
      </c>
      <c r="F199" s="15">
        <v>150</v>
      </c>
      <c r="G199" s="15">
        <v>2</v>
      </c>
      <c r="H199" s="15" t="s">
        <v>122</v>
      </c>
      <c r="I199" s="15"/>
      <c r="J199" s="15">
        <v>0</v>
      </c>
      <c r="K199" s="17"/>
      <c r="L199" s="15">
        <v>0</v>
      </c>
      <c r="M199" s="15" t="s">
        <v>50</v>
      </c>
      <c r="N199" s="22"/>
      <c r="O199" s="15">
        <v>1</v>
      </c>
    </row>
    <row r="200" spans="1:15" ht="18" customHeight="1" x14ac:dyDescent="0.25">
      <c r="A200" s="15" t="s">
        <v>88</v>
      </c>
      <c r="B200" s="15">
        <v>4</v>
      </c>
      <c r="C200" s="15">
        <v>22</v>
      </c>
      <c r="D200" s="16" t="s">
        <v>421</v>
      </c>
      <c r="E200" s="15">
        <v>150</v>
      </c>
      <c r="F200" s="15">
        <v>150</v>
      </c>
      <c r="G200" s="15">
        <v>2</v>
      </c>
      <c r="H200" s="15" t="s">
        <v>122</v>
      </c>
      <c r="I200" s="15" t="s">
        <v>123</v>
      </c>
      <c r="J200" s="15">
        <v>1</v>
      </c>
      <c r="K200" s="17">
        <v>-69.5</v>
      </c>
      <c r="L200" s="15">
        <v>0</v>
      </c>
      <c r="M200" s="15" t="s">
        <v>50</v>
      </c>
      <c r="N200" s="22"/>
      <c r="O200" s="15">
        <v>0</v>
      </c>
    </row>
    <row r="201" spans="1:15" ht="18" customHeight="1" x14ac:dyDescent="0.25">
      <c r="A201" s="15" t="s">
        <v>88</v>
      </c>
      <c r="B201" s="15">
        <v>4</v>
      </c>
      <c r="C201" s="15">
        <v>28</v>
      </c>
      <c r="D201" s="16" t="s">
        <v>422</v>
      </c>
      <c r="E201" s="15">
        <v>150</v>
      </c>
      <c r="F201" s="15">
        <v>150</v>
      </c>
      <c r="G201" s="15">
        <v>2</v>
      </c>
      <c r="H201" s="15" t="s">
        <v>122</v>
      </c>
      <c r="I201" s="15" t="s">
        <v>123</v>
      </c>
      <c r="J201" s="15">
        <v>1</v>
      </c>
      <c r="K201" s="17">
        <v>-71.5</v>
      </c>
      <c r="L201" s="15">
        <v>0</v>
      </c>
      <c r="M201" s="15" t="s">
        <v>50</v>
      </c>
      <c r="N201" s="22"/>
      <c r="O201" s="15">
        <v>0</v>
      </c>
    </row>
    <row r="202" spans="1:15" ht="18" customHeight="1" x14ac:dyDescent="0.25">
      <c r="A202" s="15" t="s">
        <v>88</v>
      </c>
      <c r="B202" s="15">
        <v>5</v>
      </c>
      <c r="C202" s="15">
        <v>4</v>
      </c>
      <c r="D202" s="16" t="s">
        <v>423</v>
      </c>
      <c r="E202" s="15">
        <v>150</v>
      </c>
      <c r="F202" s="15">
        <v>150</v>
      </c>
      <c r="G202" s="15">
        <v>2</v>
      </c>
      <c r="H202" s="15" t="s">
        <v>122</v>
      </c>
      <c r="I202" s="15"/>
      <c r="J202" s="15">
        <v>0</v>
      </c>
      <c r="K202" s="17"/>
      <c r="L202" s="15">
        <v>0</v>
      </c>
      <c r="M202" s="15" t="s">
        <v>51</v>
      </c>
      <c r="N202" s="22"/>
      <c r="O202" s="15">
        <v>1</v>
      </c>
    </row>
    <row r="203" spans="1:15" ht="18" customHeight="1" x14ac:dyDescent="0.25">
      <c r="A203" s="15" t="s">
        <v>88</v>
      </c>
      <c r="B203" s="15">
        <v>5</v>
      </c>
      <c r="C203" s="15">
        <v>10</v>
      </c>
      <c r="D203" s="16" t="s">
        <v>424</v>
      </c>
      <c r="E203" s="15">
        <v>150</v>
      </c>
      <c r="F203" s="15">
        <v>150</v>
      </c>
      <c r="G203" s="15">
        <v>2</v>
      </c>
      <c r="H203" s="15" t="s">
        <v>122</v>
      </c>
      <c r="I203" s="15"/>
      <c r="J203" s="15">
        <v>0</v>
      </c>
      <c r="K203" s="17"/>
      <c r="L203" s="15">
        <v>0</v>
      </c>
      <c r="M203" s="15" t="s">
        <v>51</v>
      </c>
      <c r="N203" s="22"/>
      <c r="O203" s="15">
        <v>1</v>
      </c>
    </row>
    <row r="204" spans="1:15" ht="18" customHeight="1" x14ac:dyDescent="0.25">
      <c r="A204" s="15" t="s">
        <v>88</v>
      </c>
      <c r="B204" s="15">
        <v>5</v>
      </c>
      <c r="C204" s="15">
        <v>16</v>
      </c>
      <c r="D204" s="16" t="s">
        <v>425</v>
      </c>
      <c r="E204" s="15">
        <v>150</v>
      </c>
      <c r="F204" s="15">
        <v>150</v>
      </c>
      <c r="G204" s="15">
        <v>2</v>
      </c>
      <c r="H204" s="15" t="s">
        <v>122</v>
      </c>
      <c r="I204" s="15"/>
      <c r="J204" s="15">
        <v>0</v>
      </c>
      <c r="K204" s="17"/>
      <c r="L204" s="15">
        <v>0</v>
      </c>
      <c r="M204" s="15" t="s">
        <v>51</v>
      </c>
      <c r="N204" s="22"/>
      <c r="O204" s="15">
        <v>1</v>
      </c>
    </row>
    <row r="205" spans="1:15" ht="18" customHeight="1" x14ac:dyDescent="0.25">
      <c r="A205" s="15" t="s">
        <v>88</v>
      </c>
      <c r="B205" s="15">
        <v>5</v>
      </c>
      <c r="C205" s="15">
        <v>22</v>
      </c>
      <c r="D205" s="16" t="s">
        <v>426</v>
      </c>
      <c r="E205" s="15">
        <v>150</v>
      </c>
      <c r="F205" s="15">
        <v>150</v>
      </c>
      <c r="G205" s="15">
        <v>2</v>
      </c>
      <c r="H205" s="15" t="s">
        <v>122</v>
      </c>
      <c r="I205" s="15"/>
      <c r="J205" s="15">
        <v>0</v>
      </c>
      <c r="K205" s="17"/>
      <c r="L205" s="15">
        <v>0</v>
      </c>
      <c r="M205" s="15" t="s">
        <v>51</v>
      </c>
      <c r="N205" s="22"/>
      <c r="O205" s="15">
        <v>1</v>
      </c>
    </row>
    <row r="206" spans="1:15" ht="18" customHeight="1" x14ac:dyDescent="0.25">
      <c r="A206" s="15" t="s">
        <v>88</v>
      </c>
      <c r="B206" s="15">
        <v>5</v>
      </c>
      <c r="C206" s="15">
        <v>28</v>
      </c>
      <c r="D206" s="16" t="s">
        <v>427</v>
      </c>
      <c r="E206" s="15">
        <v>150</v>
      </c>
      <c r="F206" s="15">
        <v>150</v>
      </c>
      <c r="G206" s="15">
        <v>2</v>
      </c>
      <c r="H206" s="15" t="s">
        <v>122</v>
      </c>
      <c r="I206" s="15"/>
      <c r="J206" s="15">
        <v>0</v>
      </c>
      <c r="K206" s="17"/>
      <c r="L206" s="15">
        <v>0</v>
      </c>
      <c r="M206" s="15" t="s">
        <v>51</v>
      </c>
      <c r="N206" s="22"/>
      <c r="O206" s="15">
        <v>1</v>
      </c>
    </row>
    <row r="207" spans="1:15" ht="18" customHeight="1" x14ac:dyDescent="0.25">
      <c r="A207" s="15" t="s">
        <v>88</v>
      </c>
      <c r="B207" s="15">
        <v>6</v>
      </c>
      <c r="C207" s="15">
        <v>4</v>
      </c>
      <c r="D207" s="16" t="s">
        <v>428</v>
      </c>
      <c r="E207" s="15">
        <v>150</v>
      </c>
      <c r="F207" s="15">
        <v>150</v>
      </c>
      <c r="G207" s="15">
        <v>2</v>
      </c>
      <c r="H207" s="15" t="s">
        <v>122</v>
      </c>
      <c r="I207" s="15"/>
      <c r="J207" s="15">
        <v>0</v>
      </c>
      <c r="K207" s="17"/>
      <c r="L207" s="15">
        <v>0</v>
      </c>
      <c r="M207" s="15" t="s">
        <v>52</v>
      </c>
      <c r="N207" s="22"/>
      <c r="O207" s="15">
        <v>1</v>
      </c>
    </row>
    <row r="208" spans="1:15" ht="18" customHeight="1" x14ac:dyDescent="0.25">
      <c r="A208" s="15" t="s">
        <v>88</v>
      </c>
      <c r="B208" s="15">
        <v>6</v>
      </c>
      <c r="C208" s="15">
        <v>10</v>
      </c>
      <c r="D208" s="16" t="s">
        <v>429</v>
      </c>
      <c r="E208" s="15">
        <v>150</v>
      </c>
      <c r="F208" s="15">
        <v>150</v>
      </c>
      <c r="G208" s="15">
        <v>2</v>
      </c>
      <c r="H208" s="15" t="s">
        <v>122</v>
      </c>
      <c r="I208" s="15" t="s">
        <v>123</v>
      </c>
      <c r="J208" s="15">
        <v>1</v>
      </c>
      <c r="K208" s="17">
        <v>-75.5</v>
      </c>
      <c r="L208" s="15">
        <v>0</v>
      </c>
      <c r="M208" s="15" t="s">
        <v>52</v>
      </c>
      <c r="N208" s="22"/>
      <c r="O208" s="15">
        <v>0</v>
      </c>
    </row>
    <row r="209" spans="1:15" ht="18" customHeight="1" x14ac:dyDescent="0.25">
      <c r="A209" s="15" t="s">
        <v>88</v>
      </c>
      <c r="B209" s="15">
        <v>6</v>
      </c>
      <c r="C209" s="15">
        <v>16</v>
      </c>
      <c r="D209" s="16" t="s">
        <v>430</v>
      </c>
      <c r="E209" s="15">
        <v>150</v>
      </c>
      <c r="F209" s="15">
        <v>150</v>
      </c>
      <c r="G209" s="15">
        <v>2</v>
      </c>
      <c r="H209" s="15" t="s">
        <v>122</v>
      </c>
      <c r="I209" s="15"/>
      <c r="J209" s="15">
        <v>0</v>
      </c>
      <c r="K209" s="17"/>
      <c r="L209" s="15">
        <v>0</v>
      </c>
      <c r="M209" s="15" t="s">
        <v>52</v>
      </c>
      <c r="N209" s="22"/>
      <c r="O209" s="15">
        <v>1</v>
      </c>
    </row>
    <row r="210" spans="1:15" ht="18" customHeight="1" x14ac:dyDescent="0.25">
      <c r="A210" s="15" t="s">
        <v>88</v>
      </c>
      <c r="B210" s="15">
        <v>6</v>
      </c>
      <c r="C210" s="15">
        <v>22</v>
      </c>
      <c r="D210" s="16" t="s">
        <v>431</v>
      </c>
      <c r="E210" s="15">
        <v>150</v>
      </c>
      <c r="F210" s="15">
        <v>150</v>
      </c>
      <c r="G210" s="15">
        <v>2</v>
      </c>
      <c r="H210" s="15" t="s">
        <v>122</v>
      </c>
      <c r="I210" s="15"/>
      <c r="J210" s="15">
        <v>0</v>
      </c>
      <c r="K210" s="17"/>
      <c r="L210" s="15">
        <v>0</v>
      </c>
      <c r="M210" s="15" t="s">
        <v>52</v>
      </c>
      <c r="N210" s="22"/>
      <c r="O210" s="15">
        <v>1</v>
      </c>
    </row>
    <row r="211" spans="1:15" ht="18" customHeight="1" x14ac:dyDescent="0.25">
      <c r="A211" s="15" t="s">
        <v>88</v>
      </c>
      <c r="B211" s="15">
        <v>6</v>
      </c>
      <c r="C211" s="15">
        <v>28</v>
      </c>
      <c r="D211" s="16" t="s">
        <v>432</v>
      </c>
      <c r="E211" s="15">
        <v>150</v>
      </c>
      <c r="F211" s="15">
        <v>150</v>
      </c>
      <c r="G211" s="15">
        <v>2</v>
      </c>
      <c r="H211" s="15" t="s">
        <v>122</v>
      </c>
      <c r="I211" s="15"/>
      <c r="J211" s="15">
        <v>0</v>
      </c>
      <c r="K211" s="17"/>
      <c r="L211" s="15">
        <v>0</v>
      </c>
      <c r="M211" s="15" t="s">
        <v>52</v>
      </c>
      <c r="N211" s="22"/>
      <c r="O211" s="15">
        <v>1</v>
      </c>
    </row>
    <row r="212" spans="1:15" ht="18" customHeight="1" x14ac:dyDescent="0.25">
      <c r="A212" s="15" t="s">
        <v>433</v>
      </c>
      <c r="B212" s="15">
        <v>1</v>
      </c>
      <c r="C212" s="15">
        <v>11</v>
      </c>
      <c r="D212" s="16" t="s">
        <v>434</v>
      </c>
      <c r="E212" s="15">
        <v>150</v>
      </c>
      <c r="F212" s="15">
        <v>110</v>
      </c>
      <c r="G212" s="15">
        <v>0.5</v>
      </c>
      <c r="H212" s="15" t="s">
        <v>111</v>
      </c>
      <c r="I212" s="15" t="s">
        <v>112</v>
      </c>
      <c r="J212" s="15">
        <v>1</v>
      </c>
      <c r="K212" s="17">
        <v>-46</v>
      </c>
      <c r="L212" s="15">
        <v>0</v>
      </c>
      <c r="M212" s="15" t="s">
        <v>48</v>
      </c>
      <c r="N212" s="22"/>
      <c r="O212" s="15">
        <v>0</v>
      </c>
    </row>
    <row r="213" spans="1:15" ht="18" customHeight="1" x14ac:dyDescent="0.25">
      <c r="A213" s="15" t="s">
        <v>433</v>
      </c>
      <c r="B213" s="15">
        <v>2</v>
      </c>
      <c r="C213" s="15">
        <v>11</v>
      </c>
      <c r="D213" s="16" t="s">
        <v>435</v>
      </c>
      <c r="E213" s="15">
        <v>150</v>
      </c>
      <c r="F213" s="15">
        <v>110</v>
      </c>
      <c r="G213" s="15">
        <v>1</v>
      </c>
      <c r="H213" s="15" t="s">
        <v>111</v>
      </c>
      <c r="I213" s="15" t="s">
        <v>112</v>
      </c>
      <c r="J213" s="15">
        <v>1</v>
      </c>
      <c r="K213" s="17">
        <v>-59</v>
      </c>
      <c r="L213" s="15">
        <v>0</v>
      </c>
      <c r="M213" s="15" t="s">
        <v>48</v>
      </c>
      <c r="N213" s="22"/>
      <c r="O213" s="15">
        <v>0</v>
      </c>
    </row>
    <row r="214" spans="1:15" ht="18" customHeight="1" x14ac:dyDescent="0.25">
      <c r="A214" s="15" t="s">
        <v>433</v>
      </c>
      <c r="B214" s="15">
        <v>3</v>
      </c>
      <c r="C214" s="15">
        <v>11</v>
      </c>
      <c r="D214" s="16" t="s">
        <v>436</v>
      </c>
      <c r="E214" s="15">
        <v>150</v>
      </c>
      <c r="F214" s="15">
        <v>110</v>
      </c>
      <c r="G214" s="15">
        <v>1.5</v>
      </c>
      <c r="H214" s="15" t="s">
        <v>111</v>
      </c>
      <c r="I214" s="15" t="s">
        <v>112</v>
      </c>
      <c r="J214" s="15">
        <v>1</v>
      </c>
      <c r="K214" s="17">
        <v>-73.5</v>
      </c>
      <c r="L214" s="15">
        <v>0</v>
      </c>
      <c r="M214" s="15" t="s">
        <v>48</v>
      </c>
      <c r="N214" s="22"/>
      <c r="O214" s="15">
        <v>0</v>
      </c>
    </row>
    <row r="215" spans="1:15" ht="18" customHeight="1" x14ac:dyDescent="0.25">
      <c r="A215" s="15" t="s">
        <v>433</v>
      </c>
      <c r="B215" s="15">
        <v>4</v>
      </c>
      <c r="C215" s="15">
        <v>11</v>
      </c>
      <c r="D215" s="16" t="s">
        <v>437</v>
      </c>
      <c r="E215" s="15">
        <v>150</v>
      </c>
      <c r="F215" s="15">
        <v>110</v>
      </c>
      <c r="G215" s="15">
        <v>2</v>
      </c>
      <c r="H215" s="15" t="s">
        <v>111</v>
      </c>
      <c r="I215" s="15"/>
      <c r="J215" s="15">
        <v>0</v>
      </c>
      <c r="K215" s="17"/>
      <c r="L215" s="15">
        <v>0</v>
      </c>
      <c r="M215" s="15" t="s">
        <v>48</v>
      </c>
      <c r="N215" s="22"/>
      <c r="O215" s="15">
        <v>1</v>
      </c>
    </row>
    <row r="216" spans="1:15" ht="18" customHeight="1" x14ac:dyDescent="0.25">
      <c r="A216" s="15" t="s">
        <v>433</v>
      </c>
      <c r="B216" s="15">
        <v>5</v>
      </c>
      <c r="C216" s="15">
        <v>11</v>
      </c>
      <c r="D216" s="16" t="s">
        <v>438</v>
      </c>
      <c r="E216" s="15">
        <v>150</v>
      </c>
      <c r="F216" s="15">
        <v>120</v>
      </c>
      <c r="G216" s="15">
        <v>0.5</v>
      </c>
      <c r="H216" s="15" t="s">
        <v>114</v>
      </c>
      <c r="I216" s="15" t="s">
        <v>115</v>
      </c>
      <c r="J216" s="15">
        <v>1</v>
      </c>
      <c r="K216" s="17">
        <v>-46</v>
      </c>
      <c r="L216" s="15">
        <v>0</v>
      </c>
      <c r="M216" s="15" t="s">
        <v>49</v>
      </c>
      <c r="N216" s="22"/>
      <c r="O216" s="15">
        <v>0</v>
      </c>
    </row>
    <row r="217" spans="1:15" ht="18" customHeight="1" x14ac:dyDescent="0.25">
      <c r="A217" s="15" t="s">
        <v>433</v>
      </c>
      <c r="B217" s="15">
        <v>6</v>
      </c>
      <c r="C217" s="15">
        <v>11</v>
      </c>
      <c r="D217" s="16" t="s">
        <v>439</v>
      </c>
      <c r="E217" s="15">
        <v>150</v>
      </c>
      <c r="F217" s="15">
        <v>120</v>
      </c>
      <c r="G217" s="15">
        <v>1</v>
      </c>
      <c r="H217" s="15" t="s">
        <v>114</v>
      </c>
      <c r="I217" s="15"/>
      <c r="J217" s="15">
        <v>0</v>
      </c>
      <c r="K217" s="17"/>
      <c r="L217" s="15">
        <v>0</v>
      </c>
      <c r="M217" s="15" t="s">
        <v>49</v>
      </c>
      <c r="N217" s="22"/>
      <c r="O217" s="15">
        <v>1</v>
      </c>
    </row>
    <row r="218" spans="1:15" ht="18" customHeight="1" x14ac:dyDescent="0.25">
      <c r="A218" s="15" t="s">
        <v>433</v>
      </c>
      <c r="B218" s="15">
        <v>7</v>
      </c>
      <c r="C218" s="15">
        <v>11</v>
      </c>
      <c r="D218" s="16" t="s">
        <v>440</v>
      </c>
      <c r="E218" s="15">
        <v>150</v>
      </c>
      <c r="F218" s="15">
        <v>120</v>
      </c>
      <c r="G218" s="15">
        <v>1.5</v>
      </c>
      <c r="H218" s="15" t="s">
        <v>114</v>
      </c>
      <c r="I218" s="15" t="s">
        <v>115</v>
      </c>
      <c r="J218" s="15">
        <v>1</v>
      </c>
      <c r="K218" s="17">
        <v>-66.5</v>
      </c>
      <c r="L218" s="15">
        <v>0</v>
      </c>
      <c r="M218" s="15" t="s">
        <v>49</v>
      </c>
      <c r="N218" s="22"/>
      <c r="O218" s="15">
        <v>0</v>
      </c>
    </row>
    <row r="219" spans="1:15" ht="18" customHeight="1" x14ac:dyDescent="0.25">
      <c r="A219" s="15" t="s">
        <v>433</v>
      </c>
      <c r="B219" s="15">
        <v>8</v>
      </c>
      <c r="C219" s="15">
        <v>11</v>
      </c>
      <c r="D219" s="16" t="s">
        <v>441</v>
      </c>
      <c r="E219" s="15">
        <v>150</v>
      </c>
      <c r="F219" s="15">
        <v>120</v>
      </c>
      <c r="G219" s="15">
        <v>2</v>
      </c>
      <c r="H219" s="15" t="s">
        <v>114</v>
      </c>
      <c r="I219" s="15" t="s">
        <v>115</v>
      </c>
      <c r="J219" s="15">
        <v>1</v>
      </c>
      <c r="K219" s="17">
        <v>-66</v>
      </c>
      <c r="L219" s="15">
        <v>0</v>
      </c>
      <c r="M219" s="15" t="s">
        <v>49</v>
      </c>
      <c r="N219" s="22"/>
      <c r="O219" s="15">
        <v>0</v>
      </c>
    </row>
    <row r="220" spans="1:15" ht="18" customHeight="1" x14ac:dyDescent="0.25">
      <c r="A220" s="15" t="s">
        <v>433</v>
      </c>
      <c r="B220" s="15">
        <v>9</v>
      </c>
      <c r="C220" s="15">
        <v>11</v>
      </c>
      <c r="D220" s="16" t="s">
        <v>442</v>
      </c>
      <c r="E220" s="15">
        <v>150</v>
      </c>
      <c r="F220" s="15">
        <v>130</v>
      </c>
      <c r="G220" s="15">
        <v>0.5</v>
      </c>
      <c r="H220" s="15" t="s">
        <v>117</v>
      </c>
      <c r="I220" s="15" t="s">
        <v>118</v>
      </c>
      <c r="J220" s="15">
        <v>1</v>
      </c>
      <c r="K220" s="17">
        <v>-46</v>
      </c>
      <c r="L220" s="15">
        <v>0</v>
      </c>
      <c r="M220" s="15" t="s">
        <v>49</v>
      </c>
      <c r="N220" s="22"/>
      <c r="O220" s="15">
        <v>0</v>
      </c>
    </row>
    <row r="221" spans="1:15" ht="18" customHeight="1" x14ac:dyDescent="0.25">
      <c r="A221" s="15" t="s">
        <v>433</v>
      </c>
      <c r="B221" s="15">
        <v>10</v>
      </c>
      <c r="C221" s="15">
        <v>11</v>
      </c>
      <c r="D221" s="16" t="s">
        <v>443</v>
      </c>
      <c r="E221" s="15">
        <v>150</v>
      </c>
      <c r="F221" s="15">
        <v>130</v>
      </c>
      <c r="G221" s="15">
        <v>1</v>
      </c>
      <c r="H221" s="15" t="s">
        <v>117</v>
      </c>
      <c r="I221" s="15" t="s">
        <v>118</v>
      </c>
      <c r="J221" s="15">
        <v>1</v>
      </c>
      <c r="K221" s="17">
        <v>-63</v>
      </c>
      <c r="L221" s="15">
        <v>0</v>
      </c>
      <c r="M221" s="15" t="s">
        <v>49</v>
      </c>
      <c r="N221" s="22"/>
      <c r="O221" s="15">
        <v>0</v>
      </c>
    </row>
    <row r="222" spans="1:15" ht="18" customHeight="1" x14ac:dyDescent="0.25">
      <c r="A222" s="15" t="s">
        <v>433</v>
      </c>
      <c r="B222" s="15">
        <v>11</v>
      </c>
      <c r="C222" s="15">
        <v>11</v>
      </c>
      <c r="D222" s="16" t="s">
        <v>444</v>
      </c>
      <c r="E222" s="15">
        <v>150</v>
      </c>
      <c r="F222" s="15">
        <v>130</v>
      </c>
      <c r="G222" s="15">
        <v>1.5</v>
      </c>
      <c r="H222" s="15" t="s">
        <v>117</v>
      </c>
      <c r="I222" s="15" t="s">
        <v>118</v>
      </c>
      <c r="J222" s="15">
        <v>1</v>
      </c>
      <c r="K222" s="17">
        <v>-71.5</v>
      </c>
      <c r="L222" s="15">
        <v>0</v>
      </c>
      <c r="M222" s="15" t="s">
        <v>49</v>
      </c>
      <c r="N222" s="22"/>
      <c r="O222" s="15">
        <v>0</v>
      </c>
    </row>
    <row r="223" spans="1:15" ht="18" customHeight="1" x14ac:dyDescent="0.25">
      <c r="A223" s="15" t="s">
        <v>433</v>
      </c>
      <c r="B223" s="15">
        <v>12</v>
      </c>
      <c r="C223" s="15">
        <v>11</v>
      </c>
      <c r="D223" s="16" t="s">
        <v>445</v>
      </c>
      <c r="E223" s="15">
        <v>150</v>
      </c>
      <c r="F223" s="15">
        <v>130</v>
      </c>
      <c r="G223" s="15">
        <v>2</v>
      </c>
      <c r="H223" s="15" t="s">
        <v>117</v>
      </c>
      <c r="I223" s="15" t="s">
        <v>118</v>
      </c>
      <c r="J223" s="15">
        <v>1</v>
      </c>
      <c r="K223" s="17">
        <v>-72</v>
      </c>
      <c r="L223" s="15">
        <v>0</v>
      </c>
      <c r="M223" s="15" t="s">
        <v>49</v>
      </c>
      <c r="N223" s="22"/>
      <c r="O223" s="15">
        <v>0</v>
      </c>
    </row>
    <row r="224" spans="1:15" ht="18" customHeight="1" x14ac:dyDescent="0.25">
      <c r="A224" s="15" t="s">
        <v>433</v>
      </c>
      <c r="B224" s="15">
        <v>13</v>
      </c>
      <c r="C224" s="15">
        <v>11</v>
      </c>
      <c r="D224" s="16" t="s">
        <v>446</v>
      </c>
      <c r="E224" s="15">
        <v>150</v>
      </c>
      <c r="F224" s="15">
        <v>140</v>
      </c>
      <c r="G224" s="15">
        <v>0.5</v>
      </c>
      <c r="H224" s="15" t="s">
        <v>119</v>
      </c>
      <c r="I224" s="15" t="s">
        <v>120</v>
      </c>
      <c r="J224" s="15">
        <v>1</v>
      </c>
      <c r="K224" s="17">
        <v>-43</v>
      </c>
      <c r="L224" s="15">
        <v>0</v>
      </c>
      <c r="M224" s="15" t="s">
        <v>49</v>
      </c>
      <c r="N224" s="22"/>
      <c r="O224" s="15">
        <v>0</v>
      </c>
    </row>
    <row r="225" spans="1:15" ht="18" customHeight="1" x14ac:dyDescent="0.25">
      <c r="A225" s="15" t="s">
        <v>433</v>
      </c>
      <c r="B225" s="15">
        <v>14</v>
      </c>
      <c r="C225" s="15">
        <v>11</v>
      </c>
      <c r="D225" s="16" t="s">
        <v>447</v>
      </c>
      <c r="E225" s="15">
        <v>150</v>
      </c>
      <c r="F225" s="15">
        <v>140</v>
      </c>
      <c r="G225" s="15">
        <v>1</v>
      </c>
      <c r="H225" s="15" t="s">
        <v>119</v>
      </c>
      <c r="I225" s="15" t="s">
        <v>120</v>
      </c>
      <c r="J225" s="15">
        <v>1</v>
      </c>
      <c r="K225" s="17">
        <v>-58</v>
      </c>
      <c r="L225" s="15">
        <v>0</v>
      </c>
      <c r="M225" s="15" t="s">
        <v>49</v>
      </c>
      <c r="N225" s="22"/>
      <c r="O225" s="15">
        <v>0</v>
      </c>
    </row>
    <row r="226" spans="1:15" ht="18" customHeight="1" x14ac:dyDescent="0.25">
      <c r="A226" s="15" t="s">
        <v>433</v>
      </c>
      <c r="B226" s="15">
        <v>15</v>
      </c>
      <c r="C226" s="15">
        <v>11</v>
      </c>
      <c r="D226" s="16" t="s">
        <v>448</v>
      </c>
      <c r="E226" s="15">
        <v>150</v>
      </c>
      <c r="F226" s="15">
        <v>140</v>
      </c>
      <c r="G226" s="15">
        <v>1.5</v>
      </c>
      <c r="H226" s="15" t="s">
        <v>119</v>
      </c>
      <c r="I226" s="15" t="s">
        <v>120</v>
      </c>
      <c r="J226" s="15">
        <v>1</v>
      </c>
      <c r="K226" s="17">
        <v>-67</v>
      </c>
      <c r="L226" s="15">
        <v>0</v>
      </c>
      <c r="M226" s="15" t="s">
        <v>49</v>
      </c>
      <c r="N226" s="22"/>
      <c r="O226" s="15">
        <v>0</v>
      </c>
    </row>
    <row r="227" spans="1:15" ht="18" customHeight="1" x14ac:dyDescent="0.25">
      <c r="A227" s="15" t="s">
        <v>433</v>
      </c>
      <c r="B227" s="15">
        <v>16</v>
      </c>
      <c r="C227" s="15">
        <v>11</v>
      </c>
      <c r="D227" s="16" t="s">
        <v>449</v>
      </c>
      <c r="E227" s="15">
        <v>150</v>
      </c>
      <c r="F227" s="15">
        <v>140</v>
      </c>
      <c r="G227" s="15">
        <v>2</v>
      </c>
      <c r="H227" s="15" t="s">
        <v>119</v>
      </c>
      <c r="I227" s="15"/>
      <c r="J227" s="15">
        <v>0</v>
      </c>
      <c r="K227" s="17"/>
      <c r="L227" s="15">
        <v>0</v>
      </c>
      <c r="M227" s="15" t="s">
        <v>49</v>
      </c>
      <c r="N227" s="22"/>
      <c r="O227" s="15">
        <v>1</v>
      </c>
    </row>
    <row r="228" spans="1:15" ht="18" customHeight="1" x14ac:dyDescent="0.25">
      <c r="A228" s="15" t="s">
        <v>433</v>
      </c>
      <c r="B228" s="15">
        <v>17</v>
      </c>
      <c r="C228" s="15">
        <v>11</v>
      </c>
      <c r="D228" s="16" t="s">
        <v>450</v>
      </c>
      <c r="E228" s="15">
        <v>150</v>
      </c>
      <c r="F228" s="15">
        <v>150</v>
      </c>
      <c r="G228" s="15">
        <v>0.5</v>
      </c>
      <c r="H228" s="15" t="s">
        <v>122</v>
      </c>
      <c r="I228" s="15" t="s">
        <v>123</v>
      </c>
      <c r="J228" s="15">
        <v>1</v>
      </c>
      <c r="K228" s="17">
        <v>-46.5</v>
      </c>
      <c r="L228" s="15">
        <v>0</v>
      </c>
      <c r="M228" s="15" t="s">
        <v>48</v>
      </c>
      <c r="N228" s="22"/>
      <c r="O228" s="15">
        <v>0</v>
      </c>
    </row>
    <row r="229" spans="1:15" ht="18" customHeight="1" x14ac:dyDescent="0.25">
      <c r="A229" s="15" t="s">
        <v>433</v>
      </c>
      <c r="B229" s="15">
        <v>18</v>
      </c>
      <c r="C229" s="15">
        <v>11</v>
      </c>
      <c r="D229" s="16" t="s">
        <v>451</v>
      </c>
      <c r="E229" s="15">
        <v>150</v>
      </c>
      <c r="F229" s="15">
        <v>150</v>
      </c>
      <c r="G229" s="15">
        <v>1</v>
      </c>
      <c r="H229" s="15" t="s">
        <v>122</v>
      </c>
      <c r="I229" s="15" t="s">
        <v>123</v>
      </c>
      <c r="J229" s="15">
        <v>1</v>
      </c>
      <c r="K229" s="17">
        <v>-58.5</v>
      </c>
      <c r="L229" s="15">
        <v>0</v>
      </c>
      <c r="M229" s="15" t="s">
        <v>48</v>
      </c>
      <c r="N229" s="22"/>
      <c r="O229" s="15">
        <v>0</v>
      </c>
    </row>
    <row r="230" spans="1:15" ht="18" customHeight="1" x14ac:dyDescent="0.25">
      <c r="A230" s="15" t="s">
        <v>433</v>
      </c>
      <c r="B230" s="15">
        <v>19</v>
      </c>
      <c r="C230" s="15">
        <v>11</v>
      </c>
      <c r="D230" s="16" t="s">
        <v>452</v>
      </c>
      <c r="E230" s="15">
        <v>150</v>
      </c>
      <c r="F230" s="15">
        <v>150</v>
      </c>
      <c r="G230" s="15">
        <v>1.5</v>
      </c>
      <c r="H230" s="15" t="s">
        <v>122</v>
      </c>
      <c r="I230" s="15" t="s">
        <v>123</v>
      </c>
      <c r="J230" s="15">
        <v>1</v>
      </c>
      <c r="K230" s="17">
        <v>-71.5</v>
      </c>
      <c r="L230" s="15">
        <v>0</v>
      </c>
      <c r="M230" s="15" t="s">
        <v>48</v>
      </c>
      <c r="N230" s="22"/>
      <c r="O230" s="15">
        <v>0</v>
      </c>
    </row>
    <row r="231" spans="1:15" ht="18" customHeight="1" x14ac:dyDescent="0.25">
      <c r="A231" s="15" t="s">
        <v>433</v>
      </c>
      <c r="B231" s="15">
        <v>20</v>
      </c>
      <c r="C231" s="15">
        <v>11</v>
      </c>
      <c r="D231" s="16" t="s">
        <v>453</v>
      </c>
      <c r="E231" s="15">
        <v>150</v>
      </c>
      <c r="F231" s="15">
        <v>150</v>
      </c>
      <c r="G231" s="15">
        <v>2</v>
      </c>
      <c r="H231" s="15" t="s">
        <v>122</v>
      </c>
      <c r="I231" s="15"/>
      <c r="J231" s="15">
        <v>0</v>
      </c>
      <c r="K231" s="17"/>
      <c r="L231" s="15">
        <v>0</v>
      </c>
      <c r="M231" s="15" t="s">
        <v>48</v>
      </c>
      <c r="N231" s="22"/>
      <c r="O231" s="15">
        <v>1</v>
      </c>
    </row>
    <row r="232" spans="1:15" ht="18" customHeight="1" x14ac:dyDescent="0.25">
      <c r="A232" s="15" t="s">
        <v>433</v>
      </c>
      <c r="B232" s="15">
        <v>21</v>
      </c>
      <c r="C232" s="15">
        <v>11</v>
      </c>
      <c r="D232" s="16" t="s">
        <v>454</v>
      </c>
      <c r="E232" s="15">
        <v>150</v>
      </c>
      <c r="F232" s="15">
        <v>160</v>
      </c>
      <c r="G232" s="15">
        <v>0.5</v>
      </c>
      <c r="H232" s="15" t="s">
        <v>125</v>
      </c>
      <c r="I232" s="15" t="s">
        <v>126</v>
      </c>
      <c r="J232" s="15">
        <v>1</v>
      </c>
      <c r="K232" s="17">
        <v>-46.5</v>
      </c>
      <c r="L232" s="15">
        <v>0</v>
      </c>
      <c r="M232" s="15" t="s">
        <v>48</v>
      </c>
      <c r="N232" s="22"/>
      <c r="O232" s="15">
        <v>0</v>
      </c>
    </row>
    <row r="233" spans="1:15" ht="18" customHeight="1" x14ac:dyDescent="0.25">
      <c r="A233" s="15" t="s">
        <v>433</v>
      </c>
      <c r="B233" s="15">
        <v>22</v>
      </c>
      <c r="C233" s="15">
        <v>11</v>
      </c>
      <c r="D233" s="16" t="s">
        <v>455</v>
      </c>
      <c r="E233" s="15">
        <v>150</v>
      </c>
      <c r="F233" s="15">
        <v>160</v>
      </c>
      <c r="G233" s="15">
        <v>1</v>
      </c>
      <c r="H233" s="15" t="s">
        <v>125</v>
      </c>
      <c r="I233" s="15" t="s">
        <v>126</v>
      </c>
      <c r="J233" s="15">
        <v>1</v>
      </c>
      <c r="K233" s="17">
        <v>-59</v>
      </c>
      <c r="L233" s="15">
        <v>0</v>
      </c>
      <c r="M233" s="15" t="s">
        <v>48</v>
      </c>
      <c r="N233" s="22"/>
      <c r="O233" s="15">
        <v>0</v>
      </c>
    </row>
    <row r="234" spans="1:15" ht="18" customHeight="1" x14ac:dyDescent="0.25">
      <c r="A234" s="15" t="s">
        <v>433</v>
      </c>
      <c r="B234" s="15">
        <v>23</v>
      </c>
      <c r="C234" s="15">
        <v>11</v>
      </c>
      <c r="D234" s="16" t="s">
        <v>456</v>
      </c>
      <c r="E234" s="15">
        <v>150</v>
      </c>
      <c r="F234" s="15">
        <v>160</v>
      </c>
      <c r="G234" s="15">
        <v>1.5</v>
      </c>
      <c r="H234" s="15" t="s">
        <v>125</v>
      </c>
      <c r="I234" s="15" t="s">
        <v>126</v>
      </c>
      <c r="J234" s="15">
        <v>1</v>
      </c>
      <c r="K234" s="17">
        <v>-62</v>
      </c>
      <c r="L234" s="15">
        <v>0</v>
      </c>
      <c r="M234" s="15" t="s">
        <v>48</v>
      </c>
      <c r="N234" s="22"/>
      <c r="O234" s="15">
        <v>0</v>
      </c>
    </row>
    <row r="235" spans="1:15" ht="18" customHeight="1" x14ac:dyDescent="0.25">
      <c r="A235" s="15" t="s">
        <v>433</v>
      </c>
      <c r="B235" s="15">
        <v>24</v>
      </c>
      <c r="C235" s="15">
        <v>11</v>
      </c>
      <c r="D235" s="16" t="s">
        <v>457</v>
      </c>
      <c r="E235" s="15">
        <v>150</v>
      </c>
      <c r="F235" s="15">
        <v>160</v>
      </c>
      <c r="G235" s="15">
        <v>2</v>
      </c>
      <c r="H235" s="15" t="s">
        <v>125</v>
      </c>
      <c r="I235" s="15"/>
      <c r="J235" s="15">
        <v>0</v>
      </c>
      <c r="K235" s="17"/>
      <c r="L235" s="15">
        <v>0</v>
      </c>
      <c r="M235" s="15" t="s">
        <v>48</v>
      </c>
      <c r="N235" s="22"/>
      <c r="O235" s="15">
        <v>1</v>
      </c>
    </row>
    <row r="236" spans="1:15" ht="18" customHeight="1" x14ac:dyDescent="0.25">
      <c r="A236" s="15" t="s">
        <v>433</v>
      </c>
      <c r="B236" s="15">
        <v>25</v>
      </c>
      <c r="C236" s="15">
        <v>11</v>
      </c>
      <c r="D236" s="16" t="s">
        <v>458</v>
      </c>
      <c r="E236" s="15">
        <v>150</v>
      </c>
      <c r="F236" s="15">
        <v>170</v>
      </c>
      <c r="G236" s="15">
        <v>0.5</v>
      </c>
      <c r="H236" s="15" t="s">
        <v>127</v>
      </c>
      <c r="I236" s="15" t="s">
        <v>128</v>
      </c>
      <c r="J236" s="15">
        <v>1</v>
      </c>
      <c r="K236" s="17">
        <v>-52</v>
      </c>
      <c r="L236" s="15">
        <v>0</v>
      </c>
      <c r="M236" s="15" t="s">
        <v>52</v>
      </c>
      <c r="N236" s="22"/>
      <c r="O236" s="15">
        <v>0</v>
      </c>
    </row>
    <row r="237" spans="1:15" ht="18" customHeight="1" x14ac:dyDescent="0.25">
      <c r="A237" s="15" t="s">
        <v>433</v>
      </c>
      <c r="B237" s="15">
        <v>26</v>
      </c>
      <c r="C237" s="15">
        <v>11</v>
      </c>
      <c r="D237" s="16" t="s">
        <v>459</v>
      </c>
      <c r="E237" s="15">
        <v>150</v>
      </c>
      <c r="F237" s="15">
        <v>170</v>
      </c>
      <c r="G237" s="15">
        <v>1</v>
      </c>
      <c r="H237" s="15" t="s">
        <v>127</v>
      </c>
      <c r="I237" s="15" t="s">
        <v>128</v>
      </c>
      <c r="J237" s="15">
        <v>1</v>
      </c>
      <c r="K237" s="17">
        <v>-59</v>
      </c>
      <c r="L237" s="15">
        <v>0</v>
      </c>
      <c r="M237" s="15" t="s">
        <v>52</v>
      </c>
      <c r="N237" s="22"/>
      <c r="O237" s="15">
        <v>0</v>
      </c>
    </row>
    <row r="238" spans="1:15" ht="18" customHeight="1" x14ac:dyDescent="0.25">
      <c r="A238" s="15" t="s">
        <v>433</v>
      </c>
      <c r="B238" s="15">
        <v>27</v>
      </c>
      <c r="C238" s="15">
        <v>11</v>
      </c>
      <c r="D238" s="16" t="s">
        <v>460</v>
      </c>
      <c r="E238" s="15">
        <v>150</v>
      </c>
      <c r="F238" s="15">
        <v>170</v>
      </c>
      <c r="G238" s="15">
        <v>1.5</v>
      </c>
      <c r="H238" s="15" t="s">
        <v>127</v>
      </c>
      <c r="I238" s="15"/>
      <c r="J238" s="15">
        <v>0</v>
      </c>
      <c r="K238" s="17"/>
      <c r="L238" s="15">
        <v>0</v>
      </c>
      <c r="M238" s="15" t="s">
        <v>52</v>
      </c>
      <c r="N238" s="22"/>
      <c r="O238" s="15">
        <v>1</v>
      </c>
    </row>
    <row r="239" spans="1:15" ht="18" customHeight="1" x14ac:dyDescent="0.25">
      <c r="A239" s="15" t="s">
        <v>433</v>
      </c>
      <c r="B239" s="15">
        <v>28</v>
      </c>
      <c r="C239" s="15">
        <v>11</v>
      </c>
      <c r="D239" s="16" t="s">
        <v>461</v>
      </c>
      <c r="E239" s="15">
        <v>150</v>
      </c>
      <c r="F239" s="15">
        <v>170</v>
      </c>
      <c r="G239" s="15">
        <v>2</v>
      </c>
      <c r="H239" s="15" t="s">
        <v>127</v>
      </c>
      <c r="I239" s="15" t="s">
        <v>128</v>
      </c>
      <c r="J239" s="15">
        <v>1</v>
      </c>
      <c r="K239" s="17">
        <v>-70</v>
      </c>
      <c r="L239" s="15">
        <v>0</v>
      </c>
      <c r="M239" s="15" t="s">
        <v>52</v>
      </c>
      <c r="N239" s="22"/>
      <c r="O239" s="15">
        <v>0</v>
      </c>
    </row>
    <row r="240" spans="1:15" ht="18" customHeight="1" x14ac:dyDescent="0.25">
      <c r="A240" s="15" t="s">
        <v>433</v>
      </c>
      <c r="B240" s="15">
        <v>29</v>
      </c>
      <c r="C240" s="15">
        <v>11</v>
      </c>
      <c r="D240" s="16" t="s">
        <v>462</v>
      </c>
      <c r="E240" s="15">
        <v>150</v>
      </c>
      <c r="F240" s="15">
        <v>180</v>
      </c>
      <c r="G240" s="15">
        <v>0.5</v>
      </c>
      <c r="H240" s="15" t="s">
        <v>131</v>
      </c>
      <c r="I240" s="15" t="s">
        <v>132</v>
      </c>
      <c r="J240" s="15">
        <v>1</v>
      </c>
      <c r="K240" s="17">
        <v>-44.5</v>
      </c>
      <c r="L240" s="15">
        <v>0</v>
      </c>
      <c r="M240" s="15" t="s">
        <v>48</v>
      </c>
      <c r="N240" s="22"/>
      <c r="O240" s="15">
        <v>0</v>
      </c>
    </row>
    <row r="241" spans="1:15" ht="18" customHeight="1" x14ac:dyDescent="0.25">
      <c r="A241" s="15" t="s">
        <v>433</v>
      </c>
      <c r="B241" s="15">
        <v>30</v>
      </c>
      <c r="C241" s="15">
        <v>11</v>
      </c>
      <c r="D241" s="16" t="s">
        <v>463</v>
      </c>
      <c r="E241" s="15">
        <v>150</v>
      </c>
      <c r="F241" s="15">
        <v>180</v>
      </c>
      <c r="G241" s="15">
        <v>1</v>
      </c>
      <c r="H241" s="15" t="s">
        <v>131</v>
      </c>
      <c r="I241" s="15" t="s">
        <v>132</v>
      </c>
      <c r="J241" s="15">
        <v>1</v>
      </c>
      <c r="K241" s="17">
        <v>-54.5</v>
      </c>
      <c r="L241" s="15">
        <v>0</v>
      </c>
      <c r="M241" s="15" t="s">
        <v>48</v>
      </c>
      <c r="N241" s="22"/>
      <c r="O241" s="15">
        <v>0</v>
      </c>
    </row>
    <row r="242" spans="1:15" ht="18" customHeight="1" x14ac:dyDescent="0.25">
      <c r="A242" s="15" t="s">
        <v>433</v>
      </c>
      <c r="B242" s="15">
        <v>31</v>
      </c>
      <c r="C242" s="15">
        <v>11</v>
      </c>
      <c r="D242" s="16" t="s">
        <v>464</v>
      </c>
      <c r="E242" s="15">
        <v>150</v>
      </c>
      <c r="F242" s="15">
        <v>180</v>
      </c>
      <c r="G242" s="15">
        <v>1.5</v>
      </c>
      <c r="H242" s="15" t="s">
        <v>131</v>
      </c>
      <c r="I242" s="15" t="s">
        <v>132</v>
      </c>
      <c r="J242" s="15">
        <v>1</v>
      </c>
      <c r="K242" s="17">
        <v>-73.5</v>
      </c>
      <c r="L242" s="15">
        <v>0</v>
      </c>
      <c r="M242" s="15" t="s">
        <v>48</v>
      </c>
      <c r="N242" s="22"/>
      <c r="O242" s="15">
        <v>0</v>
      </c>
    </row>
    <row r="243" spans="1:15" ht="18" customHeight="1" x14ac:dyDescent="0.25">
      <c r="A243" s="15" t="s">
        <v>433</v>
      </c>
      <c r="B243" s="15">
        <v>32</v>
      </c>
      <c r="C243" s="15">
        <v>11</v>
      </c>
      <c r="D243" s="16" t="s">
        <v>465</v>
      </c>
      <c r="E243" s="15">
        <v>150</v>
      </c>
      <c r="F243" s="15">
        <v>180</v>
      </c>
      <c r="G243" s="15">
        <v>2</v>
      </c>
      <c r="H243" s="15" t="s">
        <v>131</v>
      </c>
      <c r="I243" s="15"/>
      <c r="J243" s="15">
        <v>0</v>
      </c>
      <c r="K243" s="17"/>
      <c r="L243" s="15">
        <v>0</v>
      </c>
      <c r="M243" s="15" t="s">
        <v>48</v>
      </c>
      <c r="N243" s="22"/>
      <c r="O243" s="15">
        <v>1</v>
      </c>
    </row>
    <row r="244" spans="1:15" ht="18" customHeight="1" x14ac:dyDescent="0.25">
      <c r="A244" s="15" t="s">
        <v>433</v>
      </c>
      <c r="B244" s="15">
        <v>33</v>
      </c>
      <c r="C244" s="15">
        <v>11</v>
      </c>
      <c r="D244" s="16" t="s">
        <v>466</v>
      </c>
      <c r="E244" s="15">
        <v>150</v>
      </c>
      <c r="F244" s="15">
        <v>190</v>
      </c>
      <c r="G244" s="15">
        <v>0.5</v>
      </c>
      <c r="H244" s="15" t="s">
        <v>134</v>
      </c>
      <c r="I244" s="15" t="s">
        <v>135</v>
      </c>
      <c r="J244" s="15">
        <v>1</v>
      </c>
      <c r="K244" s="17">
        <v>-47.5</v>
      </c>
      <c r="L244" s="15">
        <v>0</v>
      </c>
      <c r="M244" s="15" t="s">
        <v>49</v>
      </c>
      <c r="N244" s="22"/>
      <c r="O244" s="15">
        <v>0</v>
      </c>
    </row>
    <row r="245" spans="1:15" ht="18" customHeight="1" x14ac:dyDescent="0.25">
      <c r="A245" s="15" t="s">
        <v>433</v>
      </c>
      <c r="B245" s="15">
        <v>34</v>
      </c>
      <c r="C245" s="15">
        <v>11</v>
      </c>
      <c r="D245" s="16" t="s">
        <v>467</v>
      </c>
      <c r="E245" s="15">
        <v>150</v>
      </c>
      <c r="F245" s="15">
        <v>190</v>
      </c>
      <c r="G245" s="15">
        <v>1</v>
      </c>
      <c r="H245" s="15" t="s">
        <v>134</v>
      </c>
      <c r="I245" s="15" t="s">
        <v>135</v>
      </c>
      <c r="J245" s="15">
        <v>1</v>
      </c>
      <c r="K245" s="17">
        <v>-56.5</v>
      </c>
      <c r="L245" s="15">
        <v>0</v>
      </c>
      <c r="M245" s="15" t="s">
        <v>49</v>
      </c>
      <c r="N245" s="22"/>
      <c r="O245" s="15">
        <v>0</v>
      </c>
    </row>
    <row r="246" spans="1:15" ht="18" customHeight="1" x14ac:dyDescent="0.25">
      <c r="A246" s="15" t="s">
        <v>433</v>
      </c>
      <c r="B246" s="15">
        <v>35</v>
      </c>
      <c r="C246" s="15">
        <v>11</v>
      </c>
      <c r="D246" s="16" t="s">
        <v>468</v>
      </c>
      <c r="E246" s="15">
        <v>150</v>
      </c>
      <c r="F246" s="15">
        <v>190</v>
      </c>
      <c r="G246" s="15">
        <v>1.5</v>
      </c>
      <c r="H246" s="15" t="s">
        <v>134</v>
      </c>
      <c r="I246" s="15" t="s">
        <v>135</v>
      </c>
      <c r="J246" s="15">
        <v>1</v>
      </c>
      <c r="K246" s="17">
        <v>-66.5</v>
      </c>
      <c r="L246" s="15">
        <v>0</v>
      </c>
      <c r="M246" s="15" t="s">
        <v>49</v>
      </c>
      <c r="N246" s="22"/>
      <c r="O246" s="15">
        <v>0</v>
      </c>
    </row>
    <row r="247" spans="1:15" ht="18" customHeight="1" x14ac:dyDescent="0.25">
      <c r="A247" s="15" t="s">
        <v>433</v>
      </c>
      <c r="B247" s="15">
        <v>36</v>
      </c>
      <c r="C247" s="15">
        <v>11</v>
      </c>
      <c r="D247" s="16" t="s">
        <v>469</v>
      </c>
      <c r="E247" s="15">
        <v>150</v>
      </c>
      <c r="F247" s="15">
        <v>190</v>
      </c>
      <c r="G247" s="15">
        <v>2</v>
      </c>
      <c r="H247" s="15" t="s">
        <v>134</v>
      </c>
      <c r="I247" s="15"/>
      <c r="J247" s="15">
        <v>0</v>
      </c>
      <c r="K247" s="17"/>
      <c r="L247" s="15">
        <v>0</v>
      </c>
      <c r="M247" s="15" t="s">
        <v>49</v>
      </c>
      <c r="N247" s="22"/>
      <c r="O247" s="15">
        <v>1</v>
      </c>
    </row>
    <row r="248" spans="1:15" ht="18" customHeight="1" x14ac:dyDescent="0.25">
      <c r="A248" s="15" t="s">
        <v>433</v>
      </c>
      <c r="B248" s="15">
        <v>37</v>
      </c>
      <c r="C248" s="15">
        <v>11</v>
      </c>
      <c r="D248" s="16" t="s">
        <v>470</v>
      </c>
      <c r="E248" s="15">
        <v>150</v>
      </c>
      <c r="F248" s="15">
        <v>200</v>
      </c>
      <c r="G248" s="15">
        <v>0.5</v>
      </c>
      <c r="H248" s="15" t="s">
        <v>137</v>
      </c>
      <c r="I248" s="15" t="s">
        <v>138</v>
      </c>
      <c r="J248" s="15">
        <v>1</v>
      </c>
      <c r="K248" s="17">
        <v>-65</v>
      </c>
      <c r="L248" s="15">
        <v>0</v>
      </c>
      <c r="M248" s="15" t="s">
        <v>52</v>
      </c>
      <c r="N248" s="22"/>
      <c r="O248" s="15">
        <v>0</v>
      </c>
    </row>
    <row r="249" spans="1:15" ht="18" customHeight="1" x14ac:dyDescent="0.25">
      <c r="A249" s="15" t="s">
        <v>433</v>
      </c>
      <c r="B249" s="15">
        <v>38</v>
      </c>
      <c r="C249" s="15">
        <v>11</v>
      </c>
      <c r="D249" s="16" t="s">
        <v>471</v>
      </c>
      <c r="E249" s="15">
        <v>150</v>
      </c>
      <c r="F249" s="15">
        <v>200</v>
      </c>
      <c r="G249" s="15">
        <v>1</v>
      </c>
      <c r="H249" s="15" t="s">
        <v>137</v>
      </c>
      <c r="I249" s="15" t="s">
        <v>138</v>
      </c>
      <c r="J249" s="15">
        <v>1</v>
      </c>
      <c r="K249" s="17">
        <v>-66.5</v>
      </c>
      <c r="L249" s="15">
        <v>0</v>
      </c>
      <c r="M249" s="15" t="s">
        <v>52</v>
      </c>
      <c r="N249" s="22"/>
      <c r="O249" s="15">
        <v>0</v>
      </c>
    </row>
    <row r="250" spans="1:15" ht="18" customHeight="1" x14ac:dyDescent="0.25">
      <c r="A250" s="15" t="s">
        <v>433</v>
      </c>
      <c r="B250" s="15">
        <v>39</v>
      </c>
      <c r="C250" s="15">
        <v>11</v>
      </c>
      <c r="D250" s="16" t="s">
        <v>472</v>
      </c>
      <c r="E250" s="15">
        <v>150</v>
      </c>
      <c r="F250" s="15">
        <v>200</v>
      </c>
      <c r="G250" s="15">
        <v>1.5</v>
      </c>
      <c r="H250" s="15" t="s">
        <v>137</v>
      </c>
      <c r="I250" s="15" t="s">
        <v>138</v>
      </c>
      <c r="J250" s="15">
        <v>1</v>
      </c>
      <c r="K250" s="17">
        <v>-76.5</v>
      </c>
      <c r="L250" s="15">
        <v>0</v>
      </c>
      <c r="M250" s="15" t="s">
        <v>52</v>
      </c>
      <c r="N250" s="22"/>
      <c r="O250" s="15">
        <v>0</v>
      </c>
    </row>
    <row r="251" spans="1:15" ht="18" customHeight="1" x14ac:dyDescent="0.25">
      <c r="A251" s="15" t="s">
        <v>433</v>
      </c>
      <c r="B251" s="15">
        <v>40</v>
      </c>
      <c r="C251" s="15">
        <v>11</v>
      </c>
      <c r="D251" s="16" t="s">
        <v>473</v>
      </c>
      <c r="E251" s="15">
        <v>150</v>
      </c>
      <c r="F251" s="15">
        <v>200</v>
      </c>
      <c r="G251" s="15">
        <v>2</v>
      </c>
      <c r="H251" s="15" t="s">
        <v>137</v>
      </c>
      <c r="I251" s="15" t="s">
        <v>138</v>
      </c>
      <c r="J251" s="15">
        <v>1</v>
      </c>
      <c r="K251" s="17">
        <v>-77.5</v>
      </c>
      <c r="L251" s="15">
        <v>0</v>
      </c>
      <c r="M251" s="15" t="s">
        <v>52</v>
      </c>
      <c r="N251" s="22"/>
      <c r="O251" s="15">
        <v>0</v>
      </c>
    </row>
    <row r="252" spans="1:15" ht="18" customHeight="1" x14ac:dyDescent="0.25">
      <c r="A252" s="15" t="s">
        <v>433</v>
      </c>
      <c r="B252" s="15">
        <v>41</v>
      </c>
      <c r="C252" s="15">
        <v>11</v>
      </c>
      <c r="D252" s="16" t="s">
        <v>474</v>
      </c>
      <c r="E252" s="15">
        <v>150</v>
      </c>
      <c r="F252" s="15">
        <v>210</v>
      </c>
      <c r="G252" s="15">
        <v>0.5</v>
      </c>
      <c r="H252" s="15" t="s">
        <v>140</v>
      </c>
      <c r="I252" s="15" t="s">
        <v>141</v>
      </c>
      <c r="J252" s="15">
        <v>1</v>
      </c>
      <c r="K252" s="17">
        <v>-52.5</v>
      </c>
      <c r="L252" s="15">
        <v>0</v>
      </c>
      <c r="M252" s="15" t="s">
        <v>49</v>
      </c>
      <c r="N252" s="22"/>
      <c r="O252" s="15">
        <v>0</v>
      </c>
    </row>
    <row r="253" spans="1:15" ht="18" customHeight="1" x14ac:dyDescent="0.25">
      <c r="A253" s="15" t="s">
        <v>433</v>
      </c>
      <c r="B253" s="15">
        <v>42</v>
      </c>
      <c r="C253" s="15">
        <v>11</v>
      </c>
      <c r="D253" s="16" t="s">
        <v>475</v>
      </c>
      <c r="E253" s="15">
        <v>150</v>
      </c>
      <c r="F253" s="15">
        <v>210</v>
      </c>
      <c r="G253" s="15">
        <v>1</v>
      </c>
      <c r="H253" s="15" t="s">
        <v>140</v>
      </c>
      <c r="I253" s="15" t="s">
        <v>141</v>
      </c>
      <c r="J253" s="15">
        <v>1</v>
      </c>
      <c r="K253" s="17">
        <v>-64</v>
      </c>
      <c r="L253" s="15">
        <v>0</v>
      </c>
      <c r="M253" s="15" t="s">
        <v>49</v>
      </c>
      <c r="N253" s="22"/>
      <c r="O253" s="15">
        <v>0</v>
      </c>
    </row>
    <row r="254" spans="1:15" ht="18" customHeight="1" x14ac:dyDescent="0.25">
      <c r="A254" s="15" t="s">
        <v>433</v>
      </c>
      <c r="B254" s="15">
        <v>43</v>
      </c>
      <c r="C254" s="15">
        <v>11</v>
      </c>
      <c r="D254" s="16" t="s">
        <v>476</v>
      </c>
      <c r="E254" s="15">
        <v>150</v>
      </c>
      <c r="F254" s="15">
        <v>210</v>
      </c>
      <c r="G254" s="15">
        <v>1.5</v>
      </c>
      <c r="H254" s="15" t="s">
        <v>140</v>
      </c>
      <c r="I254" s="15" t="s">
        <v>141</v>
      </c>
      <c r="J254" s="15">
        <v>1</v>
      </c>
      <c r="K254" s="17">
        <v>-72.5</v>
      </c>
      <c r="L254" s="15">
        <v>0</v>
      </c>
      <c r="M254" s="15" t="s">
        <v>49</v>
      </c>
      <c r="N254" s="22"/>
      <c r="O254" s="15">
        <v>0</v>
      </c>
    </row>
    <row r="255" spans="1:15" ht="18" customHeight="1" x14ac:dyDescent="0.25">
      <c r="A255" s="15" t="s">
        <v>433</v>
      </c>
      <c r="B255" s="15">
        <v>44</v>
      </c>
      <c r="C255" s="15">
        <v>11</v>
      </c>
      <c r="D255" s="16" t="s">
        <v>477</v>
      </c>
      <c r="E255" s="15">
        <v>150</v>
      </c>
      <c r="F255" s="15">
        <v>210</v>
      </c>
      <c r="G255" s="15">
        <v>2</v>
      </c>
      <c r="H255" s="15" t="s">
        <v>140</v>
      </c>
      <c r="I255" s="15"/>
      <c r="J255" s="15">
        <v>0</v>
      </c>
      <c r="K255" s="17"/>
      <c r="L255" s="15">
        <v>0</v>
      </c>
      <c r="M255" s="15" t="s">
        <v>49</v>
      </c>
      <c r="N255" s="22"/>
      <c r="O255" s="15">
        <v>1</v>
      </c>
    </row>
    <row r="256" spans="1:15" ht="18" customHeight="1" x14ac:dyDescent="0.25">
      <c r="A256" s="15" t="s">
        <v>433</v>
      </c>
      <c r="B256" s="15">
        <v>45</v>
      </c>
      <c r="C256" s="15">
        <v>11</v>
      </c>
      <c r="D256" s="16" t="s">
        <v>478</v>
      </c>
      <c r="E256" s="15">
        <v>150</v>
      </c>
      <c r="F256" s="15">
        <v>220</v>
      </c>
      <c r="G256" s="15">
        <v>0.5</v>
      </c>
      <c r="H256" s="15" t="s">
        <v>143</v>
      </c>
      <c r="I256" s="15" t="s">
        <v>144</v>
      </c>
      <c r="J256" s="15">
        <v>1</v>
      </c>
      <c r="K256" s="17">
        <v>-57</v>
      </c>
      <c r="L256" s="15">
        <v>0</v>
      </c>
      <c r="M256" s="15" t="s">
        <v>45</v>
      </c>
      <c r="N256" s="22"/>
      <c r="O256" s="15">
        <v>0</v>
      </c>
    </row>
    <row r="257" spans="1:15" ht="18" customHeight="1" x14ac:dyDescent="0.25">
      <c r="A257" s="15" t="s">
        <v>433</v>
      </c>
      <c r="B257" s="15">
        <v>46</v>
      </c>
      <c r="C257" s="15">
        <v>11</v>
      </c>
      <c r="D257" s="16" t="s">
        <v>479</v>
      </c>
      <c r="E257" s="15">
        <v>150</v>
      </c>
      <c r="F257" s="15">
        <v>220</v>
      </c>
      <c r="G257" s="15">
        <v>1</v>
      </c>
      <c r="H257" s="15" t="s">
        <v>143</v>
      </c>
      <c r="I257" s="15" t="s">
        <v>144</v>
      </c>
      <c r="J257" s="15">
        <v>1</v>
      </c>
      <c r="K257" s="17">
        <v>-60.5</v>
      </c>
      <c r="L257" s="15">
        <v>0</v>
      </c>
      <c r="M257" s="15" t="s">
        <v>45</v>
      </c>
      <c r="N257" s="22"/>
      <c r="O257" s="15">
        <v>0</v>
      </c>
    </row>
    <row r="258" spans="1:15" ht="18" customHeight="1" x14ac:dyDescent="0.25">
      <c r="A258" s="15" t="s">
        <v>433</v>
      </c>
      <c r="B258" s="15">
        <v>47</v>
      </c>
      <c r="C258" s="15">
        <v>11</v>
      </c>
      <c r="D258" s="16" t="s">
        <v>480</v>
      </c>
      <c r="E258" s="15">
        <v>150</v>
      </c>
      <c r="F258" s="15">
        <v>220</v>
      </c>
      <c r="G258" s="15">
        <v>1.5</v>
      </c>
      <c r="H258" s="15" t="s">
        <v>143</v>
      </c>
      <c r="I258" s="15" t="s">
        <v>144</v>
      </c>
      <c r="J258" s="15">
        <v>1</v>
      </c>
      <c r="K258" s="17">
        <v>-67</v>
      </c>
      <c r="L258" s="15">
        <v>0</v>
      </c>
      <c r="M258" s="15" t="s">
        <v>45</v>
      </c>
      <c r="N258" s="22"/>
      <c r="O258" s="15">
        <v>0</v>
      </c>
    </row>
    <row r="259" spans="1:15" ht="18" customHeight="1" x14ac:dyDescent="0.25">
      <c r="A259" s="15" t="s">
        <v>433</v>
      </c>
      <c r="B259" s="15">
        <v>48</v>
      </c>
      <c r="C259" s="15">
        <v>11</v>
      </c>
      <c r="D259" s="16" t="s">
        <v>481</v>
      </c>
      <c r="E259" s="15">
        <v>150</v>
      </c>
      <c r="F259" s="15">
        <v>220</v>
      </c>
      <c r="G259" s="15">
        <v>2</v>
      </c>
      <c r="H259" s="15" t="s">
        <v>143</v>
      </c>
      <c r="I259" s="15"/>
      <c r="J259" s="15">
        <v>0</v>
      </c>
      <c r="K259" s="17"/>
      <c r="L259" s="15">
        <v>0</v>
      </c>
      <c r="M259" s="15" t="s">
        <v>45</v>
      </c>
      <c r="N259" s="22"/>
      <c r="O259" s="15">
        <v>1</v>
      </c>
    </row>
    <row r="260" spans="1:15" ht="18" customHeight="1" x14ac:dyDescent="0.25">
      <c r="A260" s="15" t="s">
        <v>433</v>
      </c>
      <c r="B260" s="15">
        <v>49</v>
      </c>
      <c r="C260" s="15">
        <v>11</v>
      </c>
      <c r="D260" s="16" t="s">
        <v>482</v>
      </c>
      <c r="E260" s="15">
        <v>150</v>
      </c>
      <c r="F260" s="15">
        <v>230</v>
      </c>
      <c r="G260" s="15">
        <v>0.5</v>
      </c>
      <c r="H260" s="15" t="s">
        <v>146</v>
      </c>
      <c r="I260" s="15" t="s">
        <v>147</v>
      </c>
      <c r="J260" s="15">
        <v>1</v>
      </c>
      <c r="K260" s="17">
        <v>-62</v>
      </c>
      <c r="L260" s="15">
        <v>0</v>
      </c>
      <c r="M260" s="15" t="s">
        <v>50</v>
      </c>
      <c r="N260" s="22"/>
      <c r="O260" s="15">
        <v>0</v>
      </c>
    </row>
    <row r="261" spans="1:15" ht="18" customHeight="1" x14ac:dyDescent="0.25">
      <c r="A261" s="15" t="s">
        <v>433</v>
      </c>
      <c r="B261" s="15">
        <v>50</v>
      </c>
      <c r="C261" s="15">
        <v>11</v>
      </c>
      <c r="D261" s="16" t="s">
        <v>483</v>
      </c>
      <c r="E261" s="15">
        <v>150</v>
      </c>
      <c r="F261" s="15">
        <v>230</v>
      </c>
      <c r="G261" s="15">
        <v>1</v>
      </c>
      <c r="H261" s="15" t="s">
        <v>146</v>
      </c>
      <c r="I261" s="15" t="s">
        <v>147</v>
      </c>
      <c r="J261" s="15">
        <v>1</v>
      </c>
      <c r="K261" s="17">
        <v>-67</v>
      </c>
      <c r="L261" s="15">
        <v>0</v>
      </c>
      <c r="M261" s="15" t="s">
        <v>50</v>
      </c>
      <c r="N261" s="22"/>
      <c r="O261" s="15">
        <v>0</v>
      </c>
    </row>
    <row r="262" spans="1:15" ht="18" customHeight="1" x14ac:dyDescent="0.25">
      <c r="A262" s="15" t="s">
        <v>433</v>
      </c>
      <c r="B262" s="15">
        <v>51</v>
      </c>
      <c r="C262" s="15">
        <v>11</v>
      </c>
      <c r="D262" s="16" t="s">
        <v>484</v>
      </c>
      <c r="E262" s="15">
        <v>150</v>
      </c>
      <c r="F262" s="15">
        <v>230</v>
      </c>
      <c r="G262" s="15">
        <v>1.5</v>
      </c>
      <c r="H262" s="15" t="s">
        <v>146</v>
      </c>
      <c r="I262" s="15" t="s">
        <v>147</v>
      </c>
      <c r="J262" s="15">
        <v>1</v>
      </c>
      <c r="K262" s="17">
        <v>-70.5</v>
      </c>
      <c r="L262" s="15">
        <v>0</v>
      </c>
      <c r="M262" s="15" t="s">
        <v>50</v>
      </c>
      <c r="N262" s="22"/>
      <c r="O262" s="15">
        <v>0</v>
      </c>
    </row>
    <row r="263" spans="1:15" ht="18" customHeight="1" x14ac:dyDescent="0.25">
      <c r="A263" s="15" t="s">
        <v>433</v>
      </c>
      <c r="B263" s="15">
        <v>52</v>
      </c>
      <c r="C263" s="15">
        <v>11</v>
      </c>
      <c r="D263" s="16" t="s">
        <v>485</v>
      </c>
      <c r="E263" s="15">
        <v>150</v>
      </c>
      <c r="F263" s="15">
        <v>230</v>
      </c>
      <c r="G263" s="15">
        <v>2</v>
      </c>
      <c r="H263" s="15" t="s">
        <v>146</v>
      </c>
      <c r="I263" s="15"/>
      <c r="J263" s="15">
        <v>0</v>
      </c>
      <c r="K263" s="17"/>
      <c r="L263" s="15">
        <v>0</v>
      </c>
      <c r="M263" s="15" t="s">
        <v>50</v>
      </c>
      <c r="N263" s="22"/>
      <c r="O263" s="15">
        <v>1</v>
      </c>
    </row>
    <row r="264" spans="1:15" ht="18" customHeight="1" x14ac:dyDescent="0.25">
      <c r="A264" s="15" t="s">
        <v>433</v>
      </c>
      <c r="B264" s="15">
        <v>53</v>
      </c>
      <c r="C264" s="15">
        <v>11</v>
      </c>
      <c r="D264" s="16" t="s">
        <v>486</v>
      </c>
      <c r="E264" s="15">
        <v>150</v>
      </c>
      <c r="F264" s="15">
        <v>240</v>
      </c>
      <c r="G264" s="15">
        <v>0.5</v>
      </c>
      <c r="H264" s="15" t="s">
        <v>150</v>
      </c>
      <c r="I264" s="15" t="s">
        <v>151</v>
      </c>
      <c r="J264" s="15">
        <v>1</v>
      </c>
      <c r="K264" s="17">
        <v>-60.5</v>
      </c>
      <c r="L264" s="15">
        <v>0</v>
      </c>
      <c r="M264" s="15" t="s">
        <v>48</v>
      </c>
      <c r="N264" s="22"/>
      <c r="O264" s="15">
        <v>0</v>
      </c>
    </row>
    <row r="265" spans="1:15" ht="18" customHeight="1" x14ac:dyDescent="0.25">
      <c r="A265" s="15" t="s">
        <v>433</v>
      </c>
      <c r="B265" s="15">
        <v>54</v>
      </c>
      <c r="C265" s="15">
        <v>11</v>
      </c>
      <c r="D265" s="16" t="s">
        <v>487</v>
      </c>
      <c r="E265" s="15">
        <v>150</v>
      </c>
      <c r="F265" s="15">
        <v>240</v>
      </c>
      <c r="G265" s="15">
        <v>1</v>
      </c>
      <c r="H265" s="15" t="s">
        <v>150</v>
      </c>
      <c r="I265" s="15" t="s">
        <v>151</v>
      </c>
      <c r="J265" s="15">
        <v>1</v>
      </c>
      <c r="K265" s="17">
        <v>-61.5</v>
      </c>
      <c r="L265" s="15">
        <v>0</v>
      </c>
      <c r="M265" s="15" t="s">
        <v>48</v>
      </c>
      <c r="N265" s="22"/>
      <c r="O265" s="15">
        <v>0</v>
      </c>
    </row>
    <row r="266" spans="1:15" ht="18" customHeight="1" x14ac:dyDescent="0.25">
      <c r="A266" s="15" t="s">
        <v>433</v>
      </c>
      <c r="B266" s="15">
        <v>55</v>
      </c>
      <c r="C266" s="15">
        <v>11</v>
      </c>
      <c r="D266" s="16" t="s">
        <v>488</v>
      </c>
      <c r="E266" s="15">
        <v>150</v>
      </c>
      <c r="F266" s="15">
        <v>240</v>
      </c>
      <c r="G266" s="15">
        <v>1.5</v>
      </c>
      <c r="H266" s="15" t="s">
        <v>150</v>
      </c>
      <c r="I266" s="15"/>
      <c r="J266" s="15">
        <v>0</v>
      </c>
      <c r="K266" s="17"/>
      <c r="L266" s="15">
        <v>0</v>
      </c>
      <c r="M266" s="15" t="s">
        <v>48</v>
      </c>
      <c r="N266" s="22"/>
      <c r="O266" s="15">
        <v>1</v>
      </c>
    </row>
    <row r="267" spans="1:15" ht="18" customHeight="1" x14ac:dyDescent="0.25">
      <c r="A267" s="15" t="s">
        <v>433</v>
      </c>
      <c r="B267" s="15">
        <v>56</v>
      </c>
      <c r="C267" s="15">
        <v>11</v>
      </c>
      <c r="D267" s="16" t="s">
        <v>489</v>
      </c>
      <c r="E267" s="15">
        <v>150</v>
      </c>
      <c r="F267" s="15">
        <v>240</v>
      </c>
      <c r="G267" s="15">
        <v>2</v>
      </c>
      <c r="H267" s="15" t="s">
        <v>150</v>
      </c>
      <c r="I267" s="15"/>
      <c r="J267" s="15">
        <v>0</v>
      </c>
      <c r="K267" s="17"/>
      <c r="L267" s="15">
        <v>0</v>
      </c>
      <c r="M267" s="15" t="s">
        <v>48</v>
      </c>
      <c r="N267" s="22"/>
      <c r="O267" s="15">
        <v>1</v>
      </c>
    </row>
    <row r="268" spans="1:15" ht="18" customHeight="1" x14ac:dyDescent="0.25">
      <c r="A268" s="15" t="s">
        <v>433</v>
      </c>
      <c r="B268" s="15">
        <v>57</v>
      </c>
      <c r="C268" s="15">
        <v>11</v>
      </c>
      <c r="D268" s="16" t="s">
        <v>490</v>
      </c>
      <c r="E268" s="15">
        <v>150</v>
      </c>
      <c r="F268" s="15">
        <v>250</v>
      </c>
      <c r="G268" s="15">
        <v>0.5</v>
      </c>
      <c r="H268" s="15" t="s">
        <v>153</v>
      </c>
      <c r="I268" s="15" t="s">
        <v>154</v>
      </c>
      <c r="J268" s="15">
        <v>1</v>
      </c>
      <c r="K268" s="17">
        <v>-61</v>
      </c>
      <c r="L268" s="15">
        <v>0</v>
      </c>
      <c r="M268" s="15" t="s">
        <v>45</v>
      </c>
      <c r="N268" s="22"/>
      <c r="O268" s="15">
        <v>0</v>
      </c>
    </row>
    <row r="269" spans="1:15" ht="18" customHeight="1" x14ac:dyDescent="0.25">
      <c r="A269" s="15" t="s">
        <v>433</v>
      </c>
      <c r="B269" s="15">
        <v>58</v>
      </c>
      <c r="C269" s="15">
        <v>11</v>
      </c>
      <c r="D269" s="16" t="s">
        <v>491</v>
      </c>
      <c r="E269" s="15">
        <v>150</v>
      </c>
      <c r="F269" s="15">
        <v>250</v>
      </c>
      <c r="G269" s="15">
        <v>1</v>
      </c>
      <c r="H269" s="15" t="s">
        <v>153</v>
      </c>
      <c r="I269" s="15" t="s">
        <v>154</v>
      </c>
      <c r="J269" s="15">
        <v>1</v>
      </c>
      <c r="K269" s="17">
        <v>-62.5</v>
      </c>
      <c r="L269" s="15">
        <v>0</v>
      </c>
      <c r="M269" s="15" t="s">
        <v>45</v>
      </c>
      <c r="N269" s="22"/>
      <c r="O269" s="15">
        <v>0</v>
      </c>
    </row>
    <row r="270" spans="1:15" ht="18" customHeight="1" x14ac:dyDescent="0.25">
      <c r="A270" s="15" t="s">
        <v>433</v>
      </c>
      <c r="B270" s="15">
        <v>59</v>
      </c>
      <c r="C270" s="15">
        <v>11</v>
      </c>
      <c r="D270" s="16" t="s">
        <v>492</v>
      </c>
      <c r="E270" s="15">
        <v>150</v>
      </c>
      <c r="F270" s="15">
        <v>250</v>
      </c>
      <c r="G270" s="15">
        <v>1.5</v>
      </c>
      <c r="H270" s="15" t="s">
        <v>153</v>
      </c>
      <c r="I270" s="15"/>
      <c r="J270" s="15">
        <v>0</v>
      </c>
      <c r="K270" s="17"/>
      <c r="L270" s="15">
        <v>0</v>
      </c>
      <c r="M270" s="15" t="s">
        <v>45</v>
      </c>
      <c r="N270" s="22"/>
      <c r="O270" s="15">
        <v>1</v>
      </c>
    </row>
    <row r="271" spans="1:15" ht="18" customHeight="1" x14ac:dyDescent="0.25">
      <c r="A271" s="15" t="s">
        <v>433</v>
      </c>
      <c r="B271" s="15">
        <v>60</v>
      </c>
      <c r="C271" s="15">
        <v>11</v>
      </c>
      <c r="D271" s="16" t="s">
        <v>493</v>
      </c>
      <c r="E271" s="15">
        <v>150</v>
      </c>
      <c r="F271" s="15">
        <v>250</v>
      </c>
      <c r="G271" s="15">
        <v>2</v>
      </c>
      <c r="H271" s="15" t="s">
        <v>153</v>
      </c>
      <c r="I271" s="15" t="s">
        <v>154</v>
      </c>
      <c r="J271" s="15">
        <v>1</v>
      </c>
      <c r="K271" s="17">
        <v>-78.5</v>
      </c>
      <c r="L271" s="15">
        <v>0</v>
      </c>
      <c r="M271" s="15" t="s">
        <v>45</v>
      </c>
      <c r="N271" s="22"/>
      <c r="O271" s="15">
        <v>0</v>
      </c>
    </row>
    <row r="272" spans="1:15" ht="18" customHeight="1" x14ac:dyDescent="0.25">
      <c r="A272" s="15" t="s">
        <v>494</v>
      </c>
      <c r="B272" s="15">
        <v>1</v>
      </c>
      <c r="C272" s="15">
        <v>7</v>
      </c>
      <c r="D272" s="16" t="s">
        <v>495</v>
      </c>
      <c r="E272" s="15">
        <v>150</v>
      </c>
      <c r="F272" s="15">
        <v>120</v>
      </c>
      <c r="G272" s="15"/>
      <c r="H272" s="15" t="s">
        <v>114</v>
      </c>
      <c r="I272" s="15" t="s">
        <v>115</v>
      </c>
      <c r="J272" s="15">
        <v>1</v>
      </c>
      <c r="K272" s="17">
        <v>-55</v>
      </c>
      <c r="L272" s="15">
        <v>0</v>
      </c>
      <c r="M272" s="15" t="s">
        <v>49</v>
      </c>
      <c r="N272" s="22"/>
      <c r="O272" s="15">
        <v>0</v>
      </c>
    </row>
    <row r="273" spans="1:15" ht="18" customHeight="1" x14ac:dyDescent="0.25">
      <c r="A273" s="15" t="s">
        <v>494</v>
      </c>
      <c r="B273" s="15">
        <v>1</v>
      </c>
      <c r="C273" s="15">
        <v>21</v>
      </c>
      <c r="D273" s="16" t="s">
        <v>496</v>
      </c>
      <c r="E273" s="15">
        <v>150</v>
      </c>
      <c r="F273" s="15">
        <v>110</v>
      </c>
      <c r="G273" s="15"/>
      <c r="H273" s="15" t="s">
        <v>111</v>
      </c>
      <c r="I273" s="15" t="s">
        <v>112</v>
      </c>
      <c r="J273" s="15">
        <v>1</v>
      </c>
      <c r="K273" s="17">
        <v>-57</v>
      </c>
      <c r="L273" s="15">
        <v>0</v>
      </c>
      <c r="M273" s="15" t="s">
        <v>48</v>
      </c>
      <c r="N273" s="22"/>
      <c r="O273" s="15">
        <v>0</v>
      </c>
    </row>
    <row r="274" spans="1:15" ht="18" customHeight="1" x14ac:dyDescent="0.25">
      <c r="A274" s="15" t="s">
        <v>494</v>
      </c>
      <c r="B274" s="15">
        <v>1</v>
      </c>
      <c r="C274" s="15">
        <v>34</v>
      </c>
      <c r="D274" s="16" t="s">
        <v>497</v>
      </c>
      <c r="E274" s="15">
        <v>150</v>
      </c>
      <c r="F274" s="15">
        <v>120</v>
      </c>
      <c r="G274" s="15"/>
      <c r="H274" s="15" t="s">
        <v>114</v>
      </c>
      <c r="I274" s="15" t="s">
        <v>115</v>
      </c>
      <c r="J274" s="15">
        <v>1</v>
      </c>
      <c r="K274" s="17">
        <v>-57.5</v>
      </c>
      <c r="L274" s="15">
        <v>0</v>
      </c>
      <c r="M274" s="15" t="s">
        <v>49</v>
      </c>
      <c r="N274" s="22"/>
      <c r="O274" s="15">
        <v>0</v>
      </c>
    </row>
    <row r="275" spans="1:15" ht="18" customHeight="1" x14ac:dyDescent="0.25">
      <c r="A275" s="15" t="s">
        <v>494</v>
      </c>
      <c r="B275" s="15">
        <v>2</v>
      </c>
      <c r="C275" s="15">
        <v>4</v>
      </c>
      <c r="D275" s="16" t="s">
        <v>498</v>
      </c>
      <c r="E275" s="15">
        <v>150</v>
      </c>
      <c r="F275" s="15">
        <v>190</v>
      </c>
      <c r="G275" s="15"/>
      <c r="H275" s="15" t="s">
        <v>134</v>
      </c>
      <c r="I275" s="15" t="s">
        <v>135</v>
      </c>
      <c r="J275" s="15">
        <v>1</v>
      </c>
      <c r="K275" s="17">
        <v>-61</v>
      </c>
      <c r="L275" s="15">
        <v>0</v>
      </c>
      <c r="M275" s="15" t="s">
        <v>49</v>
      </c>
      <c r="N275" s="22"/>
      <c r="O275" s="15">
        <v>0</v>
      </c>
    </row>
    <row r="276" spans="1:15" ht="18" customHeight="1" x14ac:dyDescent="0.25">
      <c r="A276" s="15" t="s">
        <v>494</v>
      </c>
      <c r="B276" s="15">
        <v>2</v>
      </c>
      <c r="C276" s="15">
        <v>18</v>
      </c>
      <c r="D276" s="16" t="s">
        <v>499</v>
      </c>
      <c r="E276" s="15">
        <v>150</v>
      </c>
      <c r="F276" s="15">
        <v>120</v>
      </c>
      <c r="G276" s="15"/>
      <c r="H276" s="15" t="s">
        <v>114</v>
      </c>
      <c r="I276" s="15" t="s">
        <v>115</v>
      </c>
      <c r="J276" s="15">
        <v>1</v>
      </c>
      <c r="K276" s="17">
        <v>-54.5</v>
      </c>
      <c r="L276" s="15">
        <v>0</v>
      </c>
      <c r="M276" s="15" t="s">
        <v>49</v>
      </c>
      <c r="N276" s="22"/>
      <c r="O276" s="15">
        <v>0</v>
      </c>
    </row>
    <row r="277" spans="1:15" ht="18" customHeight="1" x14ac:dyDescent="0.25">
      <c r="A277" s="15" t="s">
        <v>494</v>
      </c>
      <c r="B277" s="15">
        <v>2</v>
      </c>
      <c r="C277" s="15">
        <v>31</v>
      </c>
      <c r="D277" s="16" t="s">
        <v>500</v>
      </c>
      <c r="E277" s="15">
        <v>150</v>
      </c>
      <c r="F277" s="15">
        <v>130</v>
      </c>
      <c r="G277" s="15"/>
      <c r="H277" s="15" t="s">
        <v>117</v>
      </c>
      <c r="I277" s="15" t="s">
        <v>118</v>
      </c>
      <c r="J277" s="15">
        <v>1</v>
      </c>
      <c r="K277" s="17">
        <v>-58.5</v>
      </c>
      <c r="L277" s="15">
        <v>0</v>
      </c>
      <c r="M277" s="15" t="s">
        <v>49</v>
      </c>
      <c r="N277" s="22"/>
      <c r="O277" s="15">
        <v>0</v>
      </c>
    </row>
    <row r="278" spans="1:15" ht="18" customHeight="1" x14ac:dyDescent="0.25">
      <c r="A278" s="15" t="s">
        <v>494</v>
      </c>
      <c r="B278" s="15">
        <v>3</v>
      </c>
      <c r="C278" s="15">
        <v>12</v>
      </c>
      <c r="D278" s="16" t="s">
        <v>501</v>
      </c>
      <c r="E278" s="15">
        <v>150</v>
      </c>
      <c r="F278" s="15">
        <v>190</v>
      </c>
      <c r="G278" s="15"/>
      <c r="H278" s="15" t="s">
        <v>134</v>
      </c>
      <c r="I278" s="15" t="s">
        <v>135</v>
      </c>
      <c r="J278" s="15">
        <v>1</v>
      </c>
      <c r="K278" s="17">
        <v>-59.5</v>
      </c>
      <c r="L278" s="15">
        <v>0</v>
      </c>
      <c r="M278" s="15" t="s">
        <v>49</v>
      </c>
      <c r="N278" s="22"/>
      <c r="O278" s="15">
        <v>0</v>
      </c>
    </row>
    <row r="279" spans="1:15" ht="18" customHeight="1" x14ac:dyDescent="0.25">
      <c r="A279" s="15" t="s">
        <v>494</v>
      </c>
      <c r="B279" s="15">
        <v>3</v>
      </c>
      <c r="C279" s="15">
        <v>26</v>
      </c>
      <c r="D279" s="16" t="s">
        <v>502</v>
      </c>
      <c r="E279" s="15">
        <v>150</v>
      </c>
      <c r="F279" s="15">
        <v>120</v>
      </c>
      <c r="G279" s="15"/>
      <c r="H279" s="15" t="s">
        <v>114</v>
      </c>
      <c r="I279" s="15" t="s">
        <v>115</v>
      </c>
      <c r="J279" s="15">
        <v>1</v>
      </c>
      <c r="K279" s="17">
        <v>-60</v>
      </c>
      <c r="L279" s="15">
        <v>0</v>
      </c>
      <c r="M279" s="15" t="s">
        <v>49</v>
      </c>
      <c r="N279" s="22"/>
      <c r="O279" s="15">
        <v>0</v>
      </c>
    </row>
    <row r="280" spans="1:15" ht="18" customHeight="1" x14ac:dyDescent="0.25">
      <c r="A280" s="15" t="s">
        <v>494</v>
      </c>
      <c r="B280" s="15">
        <v>3</v>
      </c>
      <c r="C280" s="15">
        <v>39</v>
      </c>
      <c r="D280" s="16" t="s">
        <v>503</v>
      </c>
      <c r="E280" s="15">
        <v>150</v>
      </c>
      <c r="F280" s="15">
        <v>130</v>
      </c>
      <c r="G280" s="15"/>
      <c r="H280" s="15" t="s">
        <v>117</v>
      </c>
      <c r="I280" s="15" t="s">
        <v>118</v>
      </c>
      <c r="J280" s="15">
        <v>1</v>
      </c>
      <c r="K280" s="17">
        <v>-61.5</v>
      </c>
      <c r="L280" s="15">
        <v>0</v>
      </c>
      <c r="M280" s="15" t="s">
        <v>49</v>
      </c>
      <c r="N280" s="22"/>
      <c r="O280" s="15">
        <v>0</v>
      </c>
    </row>
    <row r="281" spans="1:15" ht="18" customHeight="1" x14ac:dyDescent="0.25">
      <c r="A281" s="15" t="s">
        <v>494</v>
      </c>
      <c r="B281" s="15">
        <v>3</v>
      </c>
      <c r="C281" s="15">
        <v>52</v>
      </c>
      <c r="D281" s="16" t="s">
        <v>504</v>
      </c>
      <c r="E281" s="15">
        <v>150</v>
      </c>
      <c r="F281" s="15">
        <v>140</v>
      </c>
      <c r="G281" s="15"/>
      <c r="H281" s="15" t="s">
        <v>119</v>
      </c>
      <c r="I281" s="15" t="s">
        <v>120</v>
      </c>
      <c r="J281" s="15">
        <v>1</v>
      </c>
      <c r="K281" s="17">
        <v>-58.5</v>
      </c>
      <c r="L281" s="15">
        <v>0</v>
      </c>
      <c r="M281" s="15" t="s">
        <v>49</v>
      </c>
      <c r="N281" s="22"/>
      <c r="O281" s="15">
        <v>0</v>
      </c>
    </row>
    <row r="282" spans="1:15" ht="18" customHeight="1" x14ac:dyDescent="0.25">
      <c r="A282" s="15" t="s">
        <v>494</v>
      </c>
      <c r="B282" s="15">
        <v>4</v>
      </c>
      <c r="C282" s="15">
        <v>11</v>
      </c>
      <c r="D282" s="16" t="s">
        <v>505</v>
      </c>
      <c r="E282" s="15">
        <v>150</v>
      </c>
      <c r="F282" s="15">
        <v>160</v>
      </c>
      <c r="G282" s="15"/>
      <c r="H282" s="15" t="s">
        <v>125</v>
      </c>
      <c r="I282" s="15" t="s">
        <v>126</v>
      </c>
      <c r="J282" s="15">
        <v>1</v>
      </c>
      <c r="K282" s="17">
        <v>-56.5</v>
      </c>
      <c r="L282" s="15">
        <v>0</v>
      </c>
      <c r="M282" s="15" t="s">
        <v>48</v>
      </c>
      <c r="N282" s="22"/>
      <c r="O282" s="15">
        <v>0</v>
      </c>
    </row>
    <row r="283" spans="1:15" ht="18" customHeight="1" x14ac:dyDescent="0.25">
      <c r="A283" s="15" t="s">
        <v>494</v>
      </c>
      <c r="B283" s="15">
        <v>4</v>
      </c>
      <c r="C283" s="15">
        <v>24</v>
      </c>
      <c r="D283" s="16" t="s">
        <v>506</v>
      </c>
      <c r="E283" s="15">
        <v>150</v>
      </c>
      <c r="F283" s="15">
        <v>110</v>
      </c>
      <c r="G283" s="15"/>
      <c r="H283" s="15" t="s">
        <v>111</v>
      </c>
      <c r="I283" s="15" t="s">
        <v>112</v>
      </c>
      <c r="J283" s="15">
        <v>1</v>
      </c>
      <c r="K283" s="17">
        <v>-58.5</v>
      </c>
      <c r="L283" s="15">
        <v>0</v>
      </c>
      <c r="M283" s="15" t="s">
        <v>48</v>
      </c>
      <c r="N283" s="22"/>
      <c r="O283" s="15">
        <v>0</v>
      </c>
    </row>
    <row r="284" spans="1:15" ht="18" customHeight="1" x14ac:dyDescent="0.25">
      <c r="A284" s="15" t="s">
        <v>494</v>
      </c>
      <c r="B284" s="15">
        <v>4</v>
      </c>
      <c r="C284" s="15">
        <v>37</v>
      </c>
      <c r="D284" s="16" t="s">
        <v>507</v>
      </c>
      <c r="E284" s="15">
        <v>150</v>
      </c>
      <c r="F284" s="15">
        <v>140</v>
      </c>
      <c r="G284" s="15"/>
      <c r="H284" s="15" t="s">
        <v>119</v>
      </c>
      <c r="I284" s="15" t="s">
        <v>120</v>
      </c>
      <c r="J284" s="15">
        <v>1</v>
      </c>
      <c r="K284" s="17">
        <v>-56</v>
      </c>
      <c r="L284" s="15">
        <v>0</v>
      </c>
      <c r="M284" s="15" t="s">
        <v>49</v>
      </c>
      <c r="N284" s="22"/>
      <c r="O284" s="15">
        <v>0</v>
      </c>
    </row>
    <row r="285" spans="1:15" ht="18" customHeight="1" x14ac:dyDescent="0.25">
      <c r="A285" s="15" t="s">
        <v>494</v>
      </c>
      <c r="B285" s="15">
        <v>5</v>
      </c>
      <c r="C285" s="15">
        <v>5</v>
      </c>
      <c r="D285" s="16" t="s">
        <v>508</v>
      </c>
      <c r="E285" s="15">
        <v>150</v>
      </c>
      <c r="F285" s="15">
        <v>170</v>
      </c>
      <c r="G285" s="15"/>
      <c r="H285" s="15" t="s">
        <v>127</v>
      </c>
      <c r="I285" s="15" t="s">
        <v>128</v>
      </c>
      <c r="J285" s="15">
        <v>1</v>
      </c>
      <c r="K285" s="17">
        <v>-60.5</v>
      </c>
      <c r="L285" s="15">
        <v>0</v>
      </c>
      <c r="M285" s="15" t="s">
        <v>52</v>
      </c>
      <c r="N285" s="22"/>
      <c r="O285" s="15">
        <v>0</v>
      </c>
    </row>
    <row r="286" spans="1:15" ht="18" customHeight="1" x14ac:dyDescent="0.25">
      <c r="A286" s="15" t="s">
        <v>494</v>
      </c>
      <c r="B286" s="15">
        <v>5</v>
      </c>
      <c r="C286" s="15">
        <v>18</v>
      </c>
      <c r="D286" s="16" t="s">
        <v>509</v>
      </c>
      <c r="E286" s="15">
        <v>150</v>
      </c>
      <c r="F286" s="15">
        <v>160</v>
      </c>
      <c r="G286" s="15"/>
      <c r="H286" s="15" t="s">
        <v>125</v>
      </c>
      <c r="I286" s="15" t="s">
        <v>126</v>
      </c>
      <c r="J286" s="15">
        <v>1</v>
      </c>
      <c r="K286" s="17">
        <v>-58</v>
      </c>
      <c r="L286" s="15">
        <v>0</v>
      </c>
      <c r="M286" s="15" t="s">
        <v>48</v>
      </c>
      <c r="N286" s="22"/>
      <c r="O286" s="15">
        <v>0</v>
      </c>
    </row>
    <row r="287" spans="1:15" ht="18" customHeight="1" x14ac:dyDescent="0.25">
      <c r="A287" s="15" t="s">
        <v>494</v>
      </c>
      <c r="B287" s="15">
        <v>5</v>
      </c>
      <c r="C287" s="15">
        <v>31</v>
      </c>
      <c r="D287" s="16" t="s">
        <v>510</v>
      </c>
      <c r="E287" s="15">
        <v>150</v>
      </c>
      <c r="F287" s="15">
        <v>200</v>
      </c>
      <c r="G287" s="15"/>
      <c r="H287" s="15" t="s">
        <v>137</v>
      </c>
      <c r="I287" s="15" t="s">
        <v>138</v>
      </c>
      <c r="J287" s="15">
        <v>1</v>
      </c>
      <c r="K287" s="17">
        <v>-58</v>
      </c>
      <c r="L287" s="15">
        <v>0</v>
      </c>
      <c r="M287" s="15" t="s">
        <v>52</v>
      </c>
      <c r="N287" s="22"/>
      <c r="O287" s="15">
        <v>0</v>
      </c>
    </row>
    <row r="288" spans="1:15" ht="18" customHeight="1" x14ac:dyDescent="0.25">
      <c r="A288" s="15" t="s">
        <v>494</v>
      </c>
      <c r="B288" s="15">
        <v>5</v>
      </c>
      <c r="C288" s="15">
        <v>45</v>
      </c>
      <c r="D288" s="16" t="s">
        <v>511</v>
      </c>
      <c r="E288" s="15">
        <v>150</v>
      </c>
      <c r="F288" s="15">
        <v>180</v>
      </c>
      <c r="G288" s="15"/>
      <c r="H288" s="15" t="s">
        <v>131</v>
      </c>
      <c r="I288" s="15" t="s">
        <v>132</v>
      </c>
      <c r="J288" s="15">
        <v>1</v>
      </c>
      <c r="K288" s="17">
        <v>-58.5</v>
      </c>
      <c r="L288" s="15">
        <v>0</v>
      </c>
      <c r="M288" s="15" t="s">
        <v>48</v>
      </c>
      <c r="N288" s="22"/>
      <c r="O288" s="15">
        <v>0</v>
      </c>
    </row>
    <row r="289" spans="1:15" ht="18" customHeight="1" x14ac:dyDescent="0.25">
      <c r="A289" s="15" t="s">
        <v>494</v>
      </c>
      <c r="B289" s="15">
        <v>6</v>
      </c>
      <c r="C289" s="15">
        <v>11</v>
      </c>
      <c r="D289" s="16" t="s">
        <v>512</v>
      </c>
      <c r="E289" s="15">
        <v>150</v>
      </c>
      <c r="F289" s="15">
        <v>150</v>
      </c>
      <c r="G289" s="15"/>
      <c r="H289" s="15" t="s">
        <v>122</v>
      </c>
      <c r="I289" s="15" t="s">
        <v>123</v>
      </c>
      <c r="J289" s="15">
        <v>1</v>
      </c>
      <c r="K289" s="17">
        <v>-56</v>
      </c>
      <c r="L289" s="15">
        <v>0</v>
      </c>
      <c r="M289" s="15" t="s">
        <v>48</v>
      </c>
      <c r="N289" s="22"/>
      <c r="O289" s="15">
        <v>0</v>
      </c>
    </row>
    <row r="290" spans="1:15" ht="18" customHeight="1" x14ac:dyDescent="0.25">
      <c r="A290" s="15" t="s">
        <v>494</v>
      </c>
      <c r="B290" s="15">
        <v>6</v>
      </c>
      <c r="C290" s="15">
        <v>24</v>
      </c>
      <c r="D290" s="16" t="s">
        <v>513</v>
      </c>
      <c r="E290" s="15">
        <v>150</v>
      </c>
      <c r="F290" s="15">
        <v>140</v>
      </c>
      <c r="G290" s="15"/>
      <c r="H290" s="15" t="s">
        <v>119</v>
      </c>
      <c r="I290" s="15" t="s">
        <v>120</v>
      </c>
      <c r="J290" s="15">
        <v>1</v>
      </c>
      <c r="K290" s="17">
        <v>-59</v>
      </c>
      <c r="L290" s="15">
        <v>0</v>
      </c>
      <c r="M290" s="15" t="s">
        <v>49</v>
      </c>
      <c r="N290" s="22"/>
      <c r="O290" s="15">
        <v>0</v>
      </c>
    </row>
    <row r="291" spans="1:15" ht="18" customHeight="1" x14ac:dyDescent="0.25">
      <c r="A291" s="15" t="s">
        <v>494</v>
      </c>
      <c r="B291" s="15">
        <v>7</v>
      </c>
      <c r="C291" s="15">
        <v>1</v>
      </c>
      <c r="D291" s="16" t="s">
        <v>514</v>
      </c>
      <c r="E291" s="15">
        <v>150</v>
      </c>
      <c r="F291" s="15">
        <v>120</v>
      </c>
      <c r="G291" s="15"/>
      <c r="H291" s="15" t="s">
        <v>114</v>
      </c>
      <c r="I291" s="15" t="s">
        <v>115</v>
      </c>
      <c r="J291" s="15">
        <v>1</v>
      </c>
      <c r="K291" s="17">
        <v>-58.5</v>
      </c>
      <c r="L291" s="15">
        <v>0</v>
      </c>
      <c r="M291" s="15" t="s">
        <v>49</v>
      </c>
      <c r="N291" s="22"/>
      <c r="O291" s="15">
        <v>0</v>
      </c>
    </row>
    <row r="292" spans="1:15" ht="18" customHeight="1" x14ac:dyDescent="0.25">
      <c r="A292" s="15" t="s">
        <v>494</v>
      </c>
      <c r="B292" s="15">
        <v>7</v>
      </c>
      <c r="C292" s="15">
        <v>14</v>
      </c>
      <c r="D292" s="16" t="s">
        <v>515</v>
      </c>
      <c r="E292" s="15">
        <v>150</v>
      </c>
      <c r="F292" s="15">
        <v>170</v>
      </c>
      <c r="G292" s="15"/>
      <c r="H292" s="15" t="s">
        <v>127</v>
      </c>
      <c r="I292" s="15"/>
      <c r="J292" s="15">
        <v>0</v>
      </c>
      <c r="K292" s="17"/>
      <c r="L292" s="15">
        <v>0</v>
      </c>
      <c r="M292" s="15" t="s">
        <v>52</v>
      </c>
      <c r="N292" s="22"/>
      <c r="O292" s="15">
        <v>1</v>
      </c>
    </row>
    <row r="293" spans="1:15" ht="18" customHeight="1" x14ac:dyDescent="0.25">
      <c r="A293" s="15" t="s">
        <v>494</v>
      </c>
      <c r="B293" s="15">
        <v>8</v>
      </c>
      <c r="C293" s="15">
        <v>12</v>
      </c>
      <c r="D293" s="16" t="s">
        <v>516</v>
      </c>
      <c r="E293" s="15">
        <v>150</v>
      </c>
      <c r="F293" s="15">
        <v>160</v>
      </c>
      <c r="G293" s="15"/>
      <c r="H293" s="15" t="s">
        <v>125</v>
      </c>
      <c r="I293" s="15" t="s">
        <v>126</v>
      </c>
      <c r="J293" s="15">
        <v>1</v>
      </c>
      <c r="K293" s="17">
        <v>-56</v>
      </c>
      <c r="L293" s="15">
        <v>0</v>
      </c>
      <c r="M293" s="15" t="s">
        <v>48</v>
      </c>
      <c r="N293" s="22"/>
      <c r="O293" s="15">
        <v>0</v>
      </c>
    </row>
    <row r="294" spans="1:15" ht="18" customHeight="1" x14ac:dyDescent="0.25">
      <c r="A294" s="15" t="s">
        <v>494</v>
      </c>
      <c r="B294" s="15">
        <v>9</v>
      </c>
      <c r="C294" s="15">
        <v>1</v>
      </c>
      <c r="D294" s="16" t="s">
        <v>517</v>
      </c>
      <c r="E294" s="15">
        <v>150</v>
      </c>
      <c r="F294" s="15">
        <v>180</v>
      </c>
      <c r="G294" s="15"/>
      <c r="H294" s="15" t="s">
        <v>131</v>
      </c>
      <c r="I294" s="15" t="s">
        <v>132</v>
      </c>
      <c r="J294" s="15">
        <v>1</v>
      </c>
      <c r="K294" s="17">
        <v>-57.5</v>
      </c>
      <c r="L294" s="15">
        <v>0</v>
      </c>
      <c r="M294" s="15" t="s">
        <v>48</v>
      </c>
      <c r="N294" s="22"/>
      <c r="O294" s="15">
        <v>0</v>
      </c>
    </row>
    <row r="295" spans="1:15" ht="18" customHeight="1" x14ac:dyDescent="0.25">
      <c r="A295" s="15" t="s">
        <v>494</v>
      </c>
      <c r="B295" s="15">
        <v>9</v>
      </c>
      <c r="C295" s="15">
        <v>14</v>
      </c>
      <c r="D295" s="16" t="s">
        <v>518</v>
      </c>
      <c r="E295" s="15">
        <v>150</v>
      </c>
      <c r="F295" s="15">
        <v>160</v>
      </c>
      <c r="G295" s="15"/>
      <c r="H295" s="15" t="s">
        <v>125</v>
      </c>
      <c r="I295" s="15" t="s">
        <v>126</v>
      </c>
      <c r="J295" s="15">
        <v>1</v>
      </c>
      <c r="K295" s="17">
        <v>-56</v>
      </c>
      <c r="L295" s="15">
        <v>0</v>
      </c>
      <c r="M295" s="15" t="s">
        <v>48</v>
      </c>
      <c r="N295" s="22"/>
      <c r="O295" s="15">
        <v>0</v>
      </c>
    </row>
    <row r="296" spans="1:15" ht="18" customHeight="1" x14ac:dyDescent="0.25">
      <c r="A296" s="15" t="s">
        <v>494</v>
      </c>
      <c r="B296" s="15">
        <v>9</v>
      </c>
      <c r="C296" s="15">
        <v>27</v>
      </c>
      <c r="D296" s="16" t="s">
        <v>519</v>
      </c>
      <c r="E296" s="15">
        <v>150</v>
      </c>
      <c r="F296" s="15">
        <v>190</v>
      </c>
      <c r="G296" s="15"/>
      <c r="H296" s="15" t="s">
        <v>134</v>
      </c>
      <c r="I296" s="15" t="s">
        <v>135</v>
      </c>
      <c r="J296" s="15">
        <v>1</v>
      </c>
      <c r="K296" s="17">
        <v>-59.5</v>
      </c>
      <c r="L296" s="15">
        <v>0</v>
      </c>
      <c r="M296" s="15" t="s">
        <v>49</v>
      </c>
      <c r="N296" s="22"/>
      <c r="O296" s="15">
        <v>0</v>
      </c>
    </row>
    <row r="297" spans="1:15" ht="18" customHeight="1" x14ac:dyDescent="0.25">
      <c r="A297" s="15" t="s">
        <v>494</v>
      </c>
      <c r="B297" s="15">
        <v>9</v>
      </c>
      <c r="C297" s="15">
        <v>41</v>
      </c>
      <c r="D297" s="16" t="s">
        <v>520</v>
      </c>
      <c r="E297" s="15">
        <v>150</v>
      </c>
      <c r="F297" s="15">
        <v>190</v>
      </c>
      <c r="G297" s="15"/>
      <c r="H297" s="15" t="s">
        <v>134</v>
      </c>
      <c r="I297" s="15" t="s">
        <v>135</v>
      </c>
      <c r="J297" s="15">
        <v>1</v>
      </c>
      <c r="K297" s="17">
        <v>-58</v>
      </c>
      <c r="L297" s="15">
        <v>0</v>
      </c>
      <c r="M297" s="15" t="s">
        <v>49</v>
      </c>
      <c r="N297" s="22"/>
      <c r="O297" s="15">
        <v>0</v>
      </c>
    </row>
    <row r="298" spans="1:15" ht="18" customHeight="1" x14ac:dyDescent="0.25">
      <c r="A298" s="15" t="s">
        <v>494</v>
      </c>
      <c r="B298" s="15">
        <v>9</v>
      </c>
      <c r="C298" s="15">
        <v>54</v>
      </c>
      <c r="D298" s="16" t="s">
        <v>521</v>
      </c>
      <c r="E298" s="15">
        <v>150</v>
      </c>
      <c r="F298" s="15">
        <v>120</v>
      </c>
      <c r="G298" s="15"/>
      <c r="H298" s="15" t="s">
        <v>114</v>
      </c>
      <c r="I298" s="15" t="s">
        <v>115</v>
      </c>
      <c r="J298" s="15">
        <v>1</v>
      </c>
      <c r="K298" s="17">
        <v>-55</v>
      </c>
      <c r="L298" s="15">
        <v>0</v>
      </c>
      <c r="M298" s="15" t="s">
        <v>49</v>
      </c>
      <c r="N298" s="22"/>
      <c r="O298" s="15">
        <v>0</v>
      </c>
    </row>
    <row r="299" spans="1:15" ht="18" customHeight="1" x14ac:dyDescent="0.25">
      <c r="A299" s="15" t="s">
        <v>494</v>
      </c>
      <c r="B299" s="15">
        <v>10</v>
      </c>
      <c r="C299" s="15">
        <v>9</v>
      </c>
      <c r="D299" s="16" t="s">
        <v>522</v>
      </c>
      <c r="E299" s="15">
        <v>150</v>
      </c>
      <c r="F299" s="15">
        <v>140</v>
      </c>
      <c r="G299" s="15"/>
      <c r="H299" s="15" t="s">
        <v>119</v>
      </c>
      <c r="I299" s="15" t="s">
        <v>120</v>
      </c>
      <c r="J299" s="15">
        <v>1</v>
      </c>
      <c r="K299" s="17">
        <v>-58.5</v>
      </c>
      <c r="L299" s="15">
        <v>0</v>
      </c>
      <c r="M299" s="15" t="s">
        <v>49</v>
      </c>
      <c r="N299" s="22"/>
      <c r="O299" s="15">
        <v>0</v>
      </c>
    </row>
    <row r="300" spans="1:15" ht="18" customHeight="1" x14ac:dyDescent="0.25">
      <c r="A300" s="15" t="s">
        <v>494</v>
      </c>
      <c r="B300" s="15">
        <v>10</v>
      </c>
      <c r="C300" s="15">
        <v>23</v>
      </c>
      <c r="D300" s="16" t="s">
        <v>523</v>
      </c>
      <c r="E300" s="15">
        <v>150</v>
      </c>
      <c r="F300" s="15">
        <v>150</v>
      </c>
      <c r="G300" s="15"/>
      <c r="H300" s="15" t="s">
        <v>122</v>
      </c>
      <c r="I300" s="15" t="s">
        <v>123</v>
      </c>
      <c r="J300" s="15">
        <v>1</v>
      </c>
      <c r="K300" s="17">
        <v>-59</v>
      </c>
      <c r="L300" s="15">
        <v>0</v>
      </c>
      <c r="M300" s="15" t="s">
        <v>48</v>
      </c>
      <c r="N300" s="22"/>
      <c r="O300" s="15">
        <v>0</v>
      </c>
    </row>
    <row r="301" spans="1:15" ht="18" customHeight="1" x14ac:dyDescent="0.25">
      <c r="A301" s="15" t="s">
        <v>494</v>
      </c>
      <c r="B301" s="15">
        <v>10</v>
      </c>
      <c r="C301" s="15">
        <v>36</v>
      </c>
      <c r="D301" s="16" t="s">
        <v>524</v>
      </c>
      <c r="E301" s="15">
        <v>150</v>
      </c>
      <c r="F301" s="15">
        <v>180</v>
      </c>
      <c r="G301" s="15"/>
      <c r="H301" s="15" t="s">
        <v>131</v>
      </c>
      <c r="I301" s="15" t="s">
        <v>132</v>
      </c>
      <c r="J301" s="15">
        <v>1</v>
      </c>
      <c r="K301" s="17">
        <v>-55.5</v>
      </c>
      <c r="L301" s="15">
        <v>0</v>
      </c>
      <c r="M301" s="15" t="s">
        <v>48</v>
      </c>
      <c r="N301" s="22"/>
      <c r="O301" s="15">
        <v>0</v>
      </c>
    </row>
    <row r="302" spans="1:15" ht="18" customHeight="1" x14ac:dyDescent="0.25"/>
    <row r="303" spans="1:15" ht="18" customHeight="1" x14ac:dyDescent="0.25"/>
    <row r="304" spans="1:15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  <row r="1001" ht="18" customHeight="1" x14ac:dyDescent="0.25"/>
    <row r="1002" ht="18" customHeight="1" x14ac:dyDescent="0.25"/>
    <row r="1003" ht="18" customHeight="1" x14ac:dyDescent="0.25"/>
    <row r="1004" ht="18" customHeight="1" x14ac:dyDescent="0.25"/>
    <row r="1005" ht="18" customHeight="1" x14ac:dyDescent="0.25"/>
    <row r="1006" ht="18" customHeight="1" x14ac:dyDescent="0.25"/>
    <row r="1007" ht="18" customHeight="1" x14ac:dyDescent="0.25"/>
    <row r="1008" ht="18" customHeight="1" x14ac:dyDescent="0.25"/>
    <row r="1009" ht="18" customHeight="1" x14ac:dyDescent="0.25"/>
    <row r="1010" ht="18" customHeight="1" x14ac:dyDescent="0.25"/>
    <row r="1011" ht="18" customHeight="1" x14ac:dyDescent="0.25"/>
    <row r="1012" ht="18" customHeight="1" x14ac:dyDescent="0.25"/>
    <row r="1013" ht="18" customHeight="1" x14ac:dyDescent="0.25"/>
    <row r="1014" ht="18" customHeight="1" x14ac:dyDescent="0.25"/>
    <row r="1015" ht="18" customHeight="1" x14ac:dyDescent="0.25"/>
    <row r="1016" ht="18" customHeight="1" x14ac:dyDescent="0.25"/>
    <row r="1017" ht="18" customHeight="1" x14ac:dyDescent="0.25"/>
    <row r="1018" ht="18" customHeight="1" x14ac:dyDescent="0.25"/>
    <row r="1019" ht="18" customHeight="1" x14ac:dyDescent="0.25"/>
    <row r="1020" ht="18" customHeight="1" x14ac:dyDescent="0.25"/>
    <row r="1021" ht="18" customHeight="1" x14ac:dyDescent="0.25"/>
    <row r="1022" ht="18" customHeight="1" x14ac:dyDescent="0.25"/>
    <row r="1023" ht="18" customHeight="1" x14ac:dyDescent="0.25"/>
    <row r="1024" ht="18" customHeight="1" x14ac:dyDescent="0.25"/>
    <row r="1025" ht="18" customHeight="1" x14ac:dyDescent="0.25"/>
    <row r="1026" ht="18" customHeight="1" x14ac:dyDescent="0.25"/>
    <row r="1027" ht="18" customHeight="1" x14ac:dyDescent="0.25"/>
    <row r="1028" ht="18" customHeight="1" x14ac:dyDescent="0.25"/>
    <row r="1029" ht="18" customHeight="1" x14ac:dyDescent="0.25"/>
    <row r="1030" ht="18" customHeight="1" x14ac:dyDescent="0.25"/>
    <row r="1031" ht="18" customHeight="1" x14ac:dyDescent="0.25"/>
    <row r="1032" ht="18" customHeight="1" x14ac:dyDescent="0.25"/>
    <row r="1033" ht="18" customHeight="1" x14ac:dyDescent="0.25"/>
    <row r="1034" ht="18" customHeight="1" x14ac:dyDescent="0.25"/>
    <row r="1035" ht="18" customHeight="1" x14ac:dyDescent="0.25"/>
    <row r="1036" ht="18" customHeight="1" x14ac:dyDescent="0.25"/>
    <row r="1037" ht="18" customHeight="1" x14ac:dyDescent="0.25"/>
    <row r="1038" ht="18" customHeight="1" x14ac:dyDescent="0.25"/>
    <row r="1039" ht="18" customHeight="1" x14ac:dyDescent="0.25"/>
    <row r="1040" ht="18" customHeight="1" x14ac:dyDescent="0.25"/>
    <row r="1041" ht="18" customHeight="1" x14ac:dyDescent="0.25"/>
    <row r="1042" ht="18" customHeight="1" x14ac:dyDescent="0.25"/>
    <row r="1043" ht="18" customHeight="1" x14ac:dyDescent="0.25"/>
    <row r="1044" ht="18" customHeight="1" x14ac:dyDescent="0.25"/>
    <row r="1045" ht="18" customHeight="1" x14ac:dyDescent="0.25"/>
    <row r="1046" ht="18" customHeight="1" x14ac:dyDescent="0.25"/>
    <row r="1047" ht="18" customHeight="1" x14ac:dyDescent="0.25"/>
    <row r="1048" ht="18" customHeight="1" x14ac:dyDescent="0.25"/>
    <row r="1049" ht="18" customHeight="1" x14ac:dyDescent="0.25"/>
    <row r="1050" ht="18" customHeight="1" x14ac:dyDescent="0.25"/>
    <row r="1051" ht="18" customHeight="1" x14ac:dyDescent="0.25"/>
    <row r="1052" ht="18" customHeight="1" x14ac:dyDescent="0.25"/>
    <row r="1053" ht="18" customHeight="1" x14ac:dyDescent="0.25"/>
    <row r="1054" ht="18" customHeight="1" x14ac:dyDescent="0.25"/>
    <row r="1055" ht="18" customHeight="1" x14ac:dyDescent="0.25"/>
    <row r="1056" ht="18" customHeight="1" x14ac:dyDescent="0.25"/>
    <row r="1057" ht="18" customHeight="1" x14ac:dyDescent="0.25"/>
    <row r="1058" ht="18" customHeight="1" x14ac:dyDescent="0.25"/>
    <row r="1059" ht="18" customHeight="1" x14ac:dyDescent="0.25"/>
    <row r="1060" ht="18" customHeight="1" x14ac:dyDescent="0.25"/>
    <row r="1061" ht="18" customHeight="1" x14ac:dyDescent="0.25"/>
    <row r="1062" ht="18" customHeight="1" x14ac:dyDescent="0.25"/>
    <row r="1063" ht="18" customHeight="1" x14ac:dyDescent="0.25"/>
    <row r="1064" ht="18" customHeight="1" x14ac:dyDescent="0.25"/>
    <row r="1065" ht="18" customHeight="1" x14ac:dyDescent="0.25"/>
    <row r="1066" ht="18" customHeight="1" x14ac:dyDescent="0.25"/>
    <row r="1067" ht="18" customHeight="1" x14ac:dyDescent="0.25"/>
    <row r="1068" ht="18" customHeight="1" x14ac:dyDescent="0.25"/>
    <row r="1069" ht="18" customHeight="1" x14ac:dyDescent="0.25"/>
    <row r="1070" ht="18" customHeight="1" x14ac:dyDescent="0.25"/>
    <row r="1071" ht="18" customHeight="1" x14ac:dyDescent="0.25"/>
    <row r="1072" ht="18" customHeight="1" x14ac:dyDescent="0.25"/>
    <row r="1073" ht="18" customHeight="1" x14ac:dyDescent="0.25"/>
    <row r="1074" ht="18" customHeight="1" x14ac:dyDescent="0.25"/>
    <row r="1075" ht="18" customHeight="1" x14ac:dyDescent="0.25"/>
    <row r="1076" ht="18" customHeight="1" x14ac:dyDescent="0.25"/>
    <row r="1077" ht="18" customHeight="1" x14ac:dyDescent="0.25"/>
    <row r="1078" ht="18" customHeight="1" x14ac:dyDescent="0.25"/>
    <row r="1079" ht="18" customHeight="1" x14ac:dyDescent="0.25"/>
    <row r="1080" ht="18" customHeight="1" x14ac:dyDescent="0.25"/>
    <row r="1081" ht="18" customHeight="1" x14ac:dyDescent="0.25"/>
    <row r="1082" ht="18" customHeight="1" x14ac:dyDescent="0.25"/>
    <row r="1083" ht="18" customHeight="1" x14ac:dyDescent="0.25"/>
    <row r="1084" ht="18" customHeight="1" x14ac:dyDescent="0.25"/>
    <row r="1085" ht="18" customHeight="1" x14ac:dyDescent="0.25"/>
    <row r="1086" ht="18" customHeight="1" x14ac:dyDescent="0.25"/>
    <row r="1087" ht="18" customHeight="1" x14ac:dyDescent="0.25"/>
    <row r="1088" ht="18" customHeight="1" x14ac:dyDescent="0.25"/>
    <row r="1089" ht="18" customHeight="1" x14ac:dyDescent="0.25"/>
    <row r="1090" ht="18" customHeight="1" x14ac:dyDescent="0.25"/>
    <row r="1091" ht="18" customHeight="1" x14ac:dyDescent="0.25"/>
    <row r="1092" ht="18" customHeight="1" x14ac:dyDescent="0.25"/>
    <row r="1093" ht="18" customHeight="1" x14ac:dyDescent="0.25"/>
    <row r="1094" ht="18" customHeight="1" x14ac:dyDescent="0.25"/>
    <row r="1095" ht="18" customHeight="1" x14ac:dyDescent="0.25"/>
    <row r="1096" ht="18" customHeight="1" x14ac:dyDescent="0.25"/>
    <row r="1097" ht="18" customHeight="1" x14ac:dyDescent="0.25"/>
    <row r="1098" ht="18" customHeight="1" x14ac:dyDescent="0.25"/>
    <row r="1099" ht="18" customHeight="1" x14ac:dyDescent="0.25"/>
    <row r="1100" ht="18" customHeight="1" x14ac:dyDescent="0.25"/>
    <row r="1101" ht="18" customHeight="1" x14ac:dyDescent="0.25"/>
    <row r="1102" ht="18" customHeight="1" x14ac:dyDescent="0.25"/>
    <row r="1103" ht="18" customHeight="1" x14ac:dyDescent="0.25"/>
    <row r="1104" ht="18" customHeight="1" x14ac:dyDescent="0.25"/>
    <row r="1105" ht="18" customHeight="1" x14ac:dyDescent="0.25"/>
    <row r="1106" ht="18" customHeight="1" x14ac:dyDescent="0.25"/>
    <row r="1107" ht="18" customHeight="1" x14ac:dyDescent="0.25"/>
    <row r="1108" ht="18" customHeight="1" x14ac:dyDescent="0.25"/>
    <row r="1109" ht="18" customHeight="1" x14ac:dyDescent="0.25"/>
    <row r="1110" ht="18" customHeight="1" x14ac:dyDescent="0.25"/>
    <row r="1111" ht="18" customHeight="1" x14ac:dyDescent="0.25"/>
    <row r="1112" ht="18" customHeight="1" x14ac:dyDescent="0.25"/>
    <row r="1113" ht="18" customHeight="1" x14ac:dyDescent="0.25"/>
    <row r="1114" ht="18" customHeight="1" x14ac:dyDescent="0.25"/>
    <row r="1115" ht="18" customHeight="1" x14ac:dyDescent="0.25"/>
    <row r="1116" ht="18" customHeight="1" x14ac:dyDescent="0.25"/>
    <row r="1117" ht="18" customHeight="1" x14ac:dyDescent="0.25"/>
    <row r="1118" ht="18" customHeight="1" x14ac:dyDescent="0.25"/>
    <row r="1119" ht="18" customHeight="1" x14ac:dyDescent="0.25"/>
    <row r="1120" ht="18" customHeight="1" x14ac:dyDescent="0.25"/>
    <row r="1121" ht="18" customHeight="1" x14ac:dyDescent="0.25"/>
    <row r="1122" ht="18" customHeight="1" x14ac:dyDescent="0.25"/>
    <row r="1123" ht="18" customHeight="1" x14ac:dyDescent="0.25"/>
    <row r="1124" ht="18" customHeight="1" x14ac:dyDescent="0.25"/>
    <row r="1125" ht="18" customHeight="1" x14ac:dyDescent="0.25"/>
    <row r="1126" ht="18" customHeight="1" x14ac:dyDescent="0.25"/>
    <row r="1127" ht="18" customHeight="1" x14ac:dyDescent="0.25"/>
    <row r="1128" ht="18" customHeight="1" x14ac:dyDescent="0.25"/>
    <row r="1129" ht="18" customHeight="1" x14ac:dyDescent="0.25"/>
    <row r="1130" ht="18" customHeight="1" x14ac:dyDescent="0.25"/>
    <row r="1131" ht="18" customHeight="1" x14ac:dyDescent="0.25"/>
    <row r="1132" ht="18" customHeight="1" x14ac:dyDescent="0.25"/>
    <row r="1133" ht="18" customHeight="1" x14ac:dyDescent="0.25"/>
    <row r="1134" ht="18" customHeight="1" x14ac:dyDescent="0.25"/>
    <row r="1135" ht="18" customHeight="1" x14ac:dyDescent="0.25"/>
    <row r="1136" ht="18" customHeight="1" x14ac:dyDescent="0.25"/>
    <row r="1137" ht="18" customHeight="1" x14ac:dyDescent="0.25"/>
    <row r="1138" ht="18" customHeight="1" x14ac:dyDescent="0.25"/>
    <row r="1139" ht="18" customHeight="1" x14ac:dyDescent="0.25"/>
    <row r="1140" ht="18" customHeight="1" x14ac:dyDescent="0.25"/>
    <row r="1141" ht="18" customHeight="1" x14ac:dyDescent="0.25"/>
    <row r="1142" ht="18" customHeight="1" x14ac:dyDescent="0.25"/>
    <row r="1143" ht="18" customHeight="1" x14ac:dyDescent="0.25"/>
    <row r="1144" ht="18" customHeight="1" x14ac:dyDescent="0.25"/>
    <row r="1145" ht="18" customHeight="1" x14ac:dyDescent="0.25"/>
    <row r="1146" ht="18" customHeight="1" x14ac:dyDescent="0.25"/>
    <row r="1147" ht="18" customHeight="1" x14ac:dyDescent="0.25"/>
    <row r="1148" ht="18" customHeight="1" x14ac:dyDescent="0.25"/>
    <row r="1149" ht="18" customHeight="1" x14ac:dyDescent="0.25"/>
    <row r="1150" ht="18" customHeight="1" x14ac:dyDescent="0.25"/>
    <row r="1151" ht="18" customHeight="1" x14ac:dyDescent="0.25"/>
    <row r="1152" ht="18" customHeight="1" x14ac:dyDescent="0.25"/>
    <row r="1153" ht="18" customHeight="1" x14ac:dyDescent="0.25"/>
    <row r="1154" ht="18" customHeight="1" x14ac:dyDescent="0.25"/>
    <row r="1155" ht="18" customHeight="1" x14ac:dyDescent="0.25"/>
    <row r="1156" ht="18" customHeight="1" x14ac:dyDescent="0.25"/>
    <row r="1157" ht="18" customHeight="1" x14ac:dyDescent="0.25"/>
    <row r="1158" ht="18" customHeight="1" x14ac:dyDescent="0.25"/>
    <row r="1159" ht="18" customHeight="1" x14ac:dyDescent="0.25"/>
    <row r="1160" ht="18" customHeight="1" x14ac:dyDescent="0.25"/>
    <row r="1161" ht="18" customHeight="1" x14ac:dyDescent="0.25"/>
    <row r="1162" ht="18" customHeight="1" x14ac:dyDescent="0.25"/>
    <row r="1163" ht="18" customHeight="1" x14ac:dyDescent="0.25"/>
    <row r="1164" ht="18" customHeight="1" x14ac:dyDescent="0.25"/>
    <row r="1165" ht="18" customHeight="1" x14ac:dyDescent="0.25"/>
    <row r="1166" ht="18" customHeight="1" x14ac:dyDescent="0.25"/>
    <row r="1167" ht="18" customHeight="1" x14ac:dyDescent="0.25"/>
    <row r="1168" ht="18" customHeight="1" x14ac:dyDescent="0.25"/>
    <row r="1169" ht="18" customHeight="1" x14ac:dyDescent="0.25"/>
    <row r="1170" ht="18" customHeight="1" x14ac:dyDescent="0.25"/>
    <row r="1171" ht="18" customHeight="1" x14ac:dyDescent="0.25"/>
    <row r="1172" ht="18" customHeight="1" x14ac:dyDescent="0.25"/>
    <row r="1173" ht="18" customHeight="1" x14ac:dyDescent="0.25"/>
    <row r="1174" ht="18" customHeight="1" x14ac:dyDescent="0.25"/>
    <row r="1175" ht="18" customHeight="1" x14ac:dyDescent="0.25"/>
    <row r="1176" ht="18" customHeight="1" x14ac:dyDescent="0.25"/>
    <row r="1177" ht="18" customHeight="1" x14ac:dyDescent="0.25"/>
    <row r="1178" ht="18" customHeight="1" x14ac:dyDescent="0.25"/>
    <row r="1179" ht="18" customHeight="1" x14ac:dyDescent="0.25"/>
    <row r="1180" ht="18" customHeight="1" x14ac:dyDescent="0.25"/>
    <row r="1181" ht="18" customHeight="1" x14ac:dyDescent="0.25"/>
    <row r="1182" ht="18" customHeight="1" x14ac:dyDescent="0.25"/>
    <row r="1183" ht="18" customHeight="1" x14ac:dyDescent="0.25"/>
    <row r="1184" ht="18" customHeight="1" x14ac:dyDescent="0.25"/>
    <row r="1185" ht="18" customHeight="1" x14ac:dyDescent="0.25"/>
    <row r="1186" ht="18" customHeight="1" x14ac:dyDescent="0.25"/>
    <row r="1187" ht="18" customHeight="1" x14ac:dyDescent="0.25"/>
    <row r="1188" ht="18" customHeight="1" x14ac:dyDescent="0.25"/>
    <row r="1189" ht="18" customHeight="1" x14ac:dyDescent="0.25"/>
    <row r="1190" ht="18" customHeight="1" x14ac:dyDescent="0.25"/>
    <row r="1191" ht="18" customHeight="1" x14ac:dyDescent="0.25"/>
    <row r="1192" ht="18" customHeight="1" x14ac:dyDescent="0.25"/>
    <row r="1193" ht="18" customHeight="1" x14ac:dyDescent="0.25"/>
    <row r="1194" ht="18" customHeight="1" x14ac:dyDescent="0.25"/>
    <row r="1195" ht="18" customHeight="1" x14ac:dyDescent="0.25"/>
    <row r="1196" ht="18" customHeight="1" x14ac:dyDescent="0.25"/>
    <row r="1197" ht="18" customHeight="1" x14ac:dyDescent="0.25"/>
    <row r="1198" ht="18" customHeight="1" x14ac:dyDescent="0.25"/>
    <row r="1199" ht="18" customHeight="1" x14ac:dyDescent="0.25"/>
    <row r="1200" ht="18" customHeight="1" x14ac:dyDescent="0.25"/>
    <row r="1201" ht="18" customHeight="1" x14ac:dyDescent="0.25"/>
    <row r="1202" ht="18" customHeight="1" x14ac:dyDescent="0.25"/>
    <row r="1203" ht="18" customHeight="1" x14ac:dyDescent="0.25"/>
    <row r="1204" ht="18" customHeight="1" x14ac:dyDescent="0.25"/>
    <row r="1205" ht="18" customHeight="1" x14ac:dyDescent="0.25"/>
    <row r="1206" ht="18" customHeight="1" x14ac:dyDescent="0.25"/>
    <row r="1207" ht="18" customHeight="1" x14ac:dyDescent="0.25"/>
    <row r="1208" ht="18" customHeight="1" x14ac:dyDescent="0.25"/>
    <row r="1209" ht="18" customHeight="1" x14ac:dyDescent="0.25"/>
    <row r="1210" ht="18" customHeight="1" x14ac:dyDescent="0.25"/>
    <row r="1211" ht="18" customHeight="1" x14ac:dyDescent="0.25"/>
    <row r="1212" ht="18" customHeight="1" x14ac:dyDescent="0.25"/>
    <row r="1213" ht="18" customHeight="1" x14ac:dyDescent="0.25"/>
    <row r="1214" ht="18" customHeight="1" x14ac:dyDescent="0.25"/>
    <row r="1215" ht="18" customHeight="1" x14ac:dyDescent="0.25"/>
    <row r="1216" ht="18" customHeight="1" x14ac:dyDescent="0.25"/>
    <row r="1217" ht="18" customHeight="1" x14ac:dyDescent="0.25"/>
    <row r="1218" ht="18" customHeight="1" x14ac:dyDescent="0.25"/>
    <row r="1219" ht="18" customHeight="1" x14ac:dyDescent="0.25"/>
    <row r="1220" ht="18" customHeight="1" x14ac:dyDescent="0.25"/>
    <row r="1221" ht="18" customHeight="1" x14ac:dyDescent="0.25"/>
    <row r="1222" ht="18" customHeight="1" x14ac:dyDescent="0.25"/>
    <row r="1223" ht="18" customHeight="1" x14ac:dyDescent="0.25"/>
    <row r="1224" ht="18" customHeight="1" x14ac:dyDescent="0.25"/>
    <row r="1225" ht="18" customHeight="1" x14ac:dyDescent="0.25"/>
    <row r="1226" ht="18" customHeight="1" x14ac:dyDescent="0.25"/>
    <row r="1227" ht="18" customHeight="1" x14ac:dyDescent="0.25"/>
    <row r="1228" ht="18" customHeight="1" x14ac:dyDescent="0.25"/>
    <row r="1229" ht="18" customHeight="1" x14ac:dyDescent="0.25"/>
    <row r="1230" ht="18" customHeight="1" x14ac:dyDescent="0.25"/>
    <row r="1231" ht="18" customHeight="1" x14ac:dyDescent="0.25"/>
    <row r="1232" ht="18" customHeight="1" x14ac:dyDescent="0.25"/>
    <row r="1233" ht="18" customHeight="1" x14ac:dyDescent="0.25"/>
    <row r="1234" ht="18" customHeight="1" x14ac:dyDescent="0.25"/>
    <row r="1235" ht="18" customHeight="1" x14ac:dyDescent="0.25"/>
    <row r="1236" ht="18" customHeight="1" x14ac:dyDescent="0.25"/>
    <row r="1237" ht="18" customHeight="1" x14ac:dyDescent="0.25"/>
    <row r="1238" ht="18" customHeight="1" x14ac:dyDescent="0.25"/>
    <row r="1239" ht="18" customHeight="1" x14ac:dyDescent="0.25"/>
    <row r="1240" ht="18" customHeight="1" x14ac:dyDescent="0.25"/>
    <row r="1241" ht="18" customHeight="1" x14ac:dyDescent="0.25"/>
    <row r="1242" ht="18" customHeight="1" x14ac:dyDescent="0.25"/>
    <row r="1243" ht="18" customHeight="1" x14ac:dyDescent="0.25"/>
    <row r="1244" ht="18" customHeight="1" x14ac:dyDescent="0.25"/>
    <row r="1245" ht="18" customHeight="1" x14ac:dyDescent="0.25"/>
    <row r="1246" ht="18" customHeight="1" x14ac:dyDescent="0.25"/>
    <row r="1247" ht="18" customHeight="1" x14ac:dyDescent="0.25"/>
    <row r="1248" ht="18" customHeight="1" x14ac:dyDescent="0.25"/>
    <row r="1249" ht="18" customHeight="1" x14ac:dyDescent="0.25"/>
    <row r="1250" ht="18" customHeight="1" x14ac:dyDescent="0.25"/>
    <row r="1251" ht="18" customHeight="1" x14ac:dyDescent="0.25"/>
    <row r="1252" ht="18" customHeight="1" x14ac:dyDescent="0.25"/>
    <row r="1253" ht="18" customHeight="1" x14ac:dyDescent="0.25"/>
    <row r="1254" ht="18" customHeight="1" x14ac:dyDescent="0.25"/>
    <row r="1255" ht="18" customHeight="1" x14ac:dyDescent="0.25"/>
    <row r="1256" ht="18" customHeight="1" x14ac:dyDescent="0.25"/>
    <row r="1257" ht="18" customHeight="1" x14ac:dyDescent="0.25"/>
    <row r="1258" ht="18" customHeight="1" x14ac:dyDescent="0.25"/>
    <row r="1259" ht="18" customHeight="1" x14ac:dyDescent="0.25"/>
    <row r="1260" ht="18" customHeight="1" x14ac:dyDescent="0.25"/>
    <row r="1261" ht="18" customHeight="1" x14ac:dyDescent="0.25"/>
    <row r="1262" ht="18" customHeight="1" x14ac:dyDescent="0.25"/>
    <row r="1263" ht="18" customHeight="1" x14ac:dyDescent="0.25"/>
    <row r="1264" ht="18" customHeight="1" x14ac:dyDescent="0.25"/>
    <row r="1265" ht="18" customHeight="1" x14ac:dyDescent="0.25"/>
    <row r="1266" ht="18" customHeight="1" x14ac:dyDescent="0.25"/>
    <row r="1267" ht="18" customHeight="1" x14ac:dyDescent="0.25"/>
    <row r="1268" ht="18" customHeight="1" x14ac:dyDescent="0.25"/>
    <row r="1269" ht="18" customHeight="1" x14ac:dyDescent="0.25"/>
    <row r="1270" ht="18" customHeight="1" x14ac:dyDescent="0.25"/>
    <row r="1271" ht="18" customHeight="1" x14ac:dyDescent="0.25"/>
    <row r="1272" ht="18" customHeight="1" x14ac:dyDescent="0.25"/>
    <row r="1273" ht="18" customHeight="1" x14ac:dyDescent="0.25"/>
    <row r="1274" ht="18" customHeight="1" x14ac:dyDescent="0.25"/>
    <row r="1275" ht="18" customHeight="1" x14ac:dyDescent="0.25"/>
    <row r="1276" ht="18" customHeight="1" x14ac:dyDescent="0.25"/>
    <row r="1277" ht="18" customHeight="1" x14ac:dyDescent="0.25"/>
    <row r="1278" ht="18" customHeight="1" x14ac:dyDescent="0.25"/>
    <row r="1279" ht="18" customHeight="1" x14ac:dyDescent="0.25"/>
    <row r="1280" ht="18" customHeight="1" x14ac:dyDescent="0.25"/>
    <row r="1281" ht="18" customHeight="1" x14ac:dyDescent="0.25"/>
    <row r="1282" ht="18" customHeight="1" x14ac:dyDescent="0.25"/>
    <row r="1283" ht="18" customHeight="1" x14ac:dyDescent="0.25"/>
    <row r="1284" ht="18" customHeight="1" x14ac:dyDescent="0.25"/>
    <row r="1285" ht="18" customHeight="1" x14ac:dyDescent="0.25"/>
    <row r="1286" ht="18" customHeight="1" x14ac:dyDescent="0.25"/>
    <row r="1287" ht="18" customHeight="1" x14ac:dyDescent="0.25"/>
    <row r="1288" ht="18" customHeight="1" x14ac:dyDescent="0.25"/>
    <row r="1289" ht="18" customHeight="1" x14ac:dyDescent="0.25"/>
    <row r="1290" ht="18" customHeight="1" x14ac:dyDescent="0.25"/>
    <row r="1291" ht="18" customHeight="1" x14ac:dyDescent="0.25"/>
    <row r="1292" ht="18" customHeight="1" x14ac:dyDescent="0.25"/>
    <row r="1293" ht="18" customHeight="1" x14ac:dyDescent="0.25"/>
    <row r="1294" ht="18" customHeight="1" x14ac:dyDescent="0.25"/>
    <row r="1295" ht="18" customHeight="1" x14ac:dyDescent="0.25"/>
    <row r="1296" ht="18" customHeight="1" x14ac:dyDescent="0.25"/>
    <row r="1297" ht="18" customHeight="1" x14ac:dyDescent="0.25"/>
    <row r="1298" ht="18" customHeight="1" x14ac:dyDescent="0.25"/>
    <row r="1299" ht="18" customHeight="1" x14ac:dyDescent="0.25"/>
    <row r="1300" ht="18" customHeight="1" x14ac:dyDescent="0.25"/>
    <row r="1301" ht="18" customHeight="1" x14ac:dyDescent="0.25"/>
    <row r="1302" ht="18" customHeight="1" x14ac:dyDescent="0.25"/>
    <row r="1303" ht="18" customHeight="1" x14ac:dyDescent="0.25"/>
    <row r="1304" ht="18" customHeight="1" x14ac:dyDescent="0.25"/>
    <row r="1305" ht="18" customHeight="1" x14ac:dyDescent="0.25"/>
    <row r="1306" ht="18" customHeight="1" x14ac:dyDescent="0.25"/>
    <row r="1307" ht="18" customHeight="1" x14ac:dyDescent="0.25"/>
    <row r="1308" ht="18" customHeight="1" x14ac:dyDescent="0.25"/>
    <row r="1309" ht="18" customHeight="1" x14ac:dyDescent="0.25"/>
    <row r="1310" ht="18" customHeight="1" x14ac:dyDescent="0.25"/>
    <row r="1311" ht="18" customHeight="1" x14ac:dyDescent="0.25"/>
    <row r="1312" ht="18" customHeight="1" x14ac:dyDescent="0.25"/>
    <row r="1313" ht="18" customHeight="1" x14ac:dyDescent="0.25"/>
    <row r="1314" ht="18" customHeight="1" x14ac:dyDescent="0.25"/>
    <row r="1315" ht="18" customHeight="1" x14ac:dyDescent="0.25"/>
    <row r="1316" ht="18" customHeight="1" x14ac:dyDescent="0.25"/>
    <row r="1317" ht="18" customHeight="1" x14ac:dyDescent="0.25"/>
    <row r="1318" ht="18" customHeight="1" x14ac:dyDescent="0.25"/>
    <row r="1319" ht="18" customHeight="1" x14ac:dyDescent="0.25"/>
    <row r="1320" ht="18" customHeight="1" x14ac:dyDescent="0.25"/>
    <row r="1321" ht="18" customHeight="1" x14ac:dyDescent="0.25"/>
    <row r="1322" ht="18" customHeight="1" x14ac:dyDescent="0.25"/>
    <row r="1323" ht="18" customHeight="1" x14ac:dyDescent="0.25"/>
    <row r="1324" ht="18" customHeight="1" x14ac:dyDescent="0.25"/>
    <row r="1325" ht="18" customHeight="1" x14ac:dyDescent="0.25"/>
    <row r="1326" ht="18" customHeight="1" x14ac:dyDescent="0.25"/>
    <row r="1327" ht="18" customHeight="1" x14ac:dyDescent="0.25"/>
    <row r="1328" ht="18" customHeight="1" x14ac:dyDescent="0.25"/>
    <row r="1329" ht="18" customHeight="1" x14ac:dyDescent="0.25"/>
    <row r="1330" ht="18" customHeight="1" x14ac:dyDescent="0.25"/>
    <row r="1331" ht="18" customHeight="1" x14ac:dyDescent="0.25"/>
    <row r="1332" ht="18" customHeight="1" x14ac:dyDescent="0.25"/>
    <row r="1333" ht="18" customHeight="1" x14ac:dyDescent="0.25"/>
    <row r="1334" ht="18" customHeight="1" x14ac:dyDescent="0.25"/>
    <row r="1335" ht="18" customHeight="1" x14ac:dyDescent="0.25"/>
    <row r="1336" ht="18" customHeight="1" x14ac:dyDescent="0.25"/>
    <row r="1337" ht="18" customHeight="1" x14ac:dyDescent="0.25"/>
    <row r="1338" ht="18" customHeight="1" x14ac:dyDescent="0.25"/>
    <row r="1339" ht="18" customHeight="1" x14ac:dyDescent="0.25"/>
    <row r="1340" ht="18" customHeight="1" x14ac:dyDescent="0.25"/>
    <row r="1341" ht="18" customHeight="1" x14ac:dyDescent="0.25"/>
    <row r="1342" ht="18" customHeight="1" x14ac:dyDescent="0.25"/>
    <row r="1343" ht="18" customHeight="1" x14ac:dyDescent="0.25"/>
    <row r="1344" ht="18" customHeight="1" x14ac:dyDescent="0.25"/>
    <row r="1345" ht="18" customHeight="1" x14ac:dyDescent="0.25"/>
    <row r="1346" ht="18" customHeight="1" x14ac:dyDescent="0.25"/>
    <row r="1347" ht="18" customHeight="1" x14ac:dyDescent="0.25"/>
    <row r="1348" ht="18" customHeight="1" x14ac:dyDescent="0.25"/>
    <row r="1349" ht="18" customHeight="1" x14ac:dyDescent="0.25"/>
    <row r="1350" ht="18" customHeight="1" x14ac:dyDescent="0.25"/>
    <row r="1351" ht="18" customHeight="1" x14ac:dyDescent="0.25"/>
    <row r="1352" ht="18" customHeight="1" x14ac:dyDescent="0.25"/>
    <row r="1353" ht="18" customHeight="1" x14ac:dyDescent="0.25"/>
    <row r="1354" ht="18" customHeight="1" x14ac:dyDescent="0.25"/>
    <row r="1355" ht="18" customHeight="1" x14ac:dyDescent="0.25"/>
    <row r="1356" ht="18" customHeight="1" x14ac:dyDescent="0.25"/>
    <row r="1357" ht="18" customHeight="1" x14ac:dyDescent="0.25"/>
    <row r="1358" ht="18" customHeight="1" x14ac:dyDescent="0.25"/>
    <row r="1359" ht="18" customHeight="1" x14ac:dyDescent="0.25"/>
    <row r="1360" ht="18" customHeight="1" x14ac:dyDescent="0.25"/>
    <row r="1361" ht="18" customHeight="1" x14ac:dyDescent="0.25"/>
    <row r="1362" ht="18" customHeight="1" x14ac:dyDescent="0.25"/>
    <row r="1363" ht="18" customHeight="1" x14ac:dyDescent="0.25"/>
    <row r="1364" ht="18" customHeight="1" x14ac:dyDescent="0.25"/>
    <row r="1365" ht="18" customHeight="1" x14ac:dyDescent="0.25"/>
    <row r="1366" ht="18" customHeight="1" x14ac:dyDescent="0.25"/>
    <row r="1367" ht="18" customHeight="1" x14ac:dyDescent="0.25"/>
    <row r="1368" ht="18" customHeight="1" x14ac:dyDescent="0.25"/>
    <row r="1369" ht="18" customHeight="1" x14ac:dyDescent="0.25"/>
    <row r="1370" ht="18" customHeight="1" x14ac:dyDescent="0.25"/>
    <row r="1371" ht="18" customHeight="1" x14ac:dyDescent="0.25"/>
    <row r="1372" ht="18" customHeight="1" x14ac:dyDescent="0.25"/>
    <row r="1373" ht="18" customHeight="1" x14ac:dyDescent="0.25"/>
    <row r="1374" ht="18" customHeight="1" x14ac:dyDescent="0.25"/>
    <row r="1375" ht="18" customHeight="1" x14ac:dyDescent="0.25"/>
    <row r="1376" ht="18" customHeight="1" x14ac:dyDescent="0.25"/>
    <row r="1377" ht="18" customHeight="1" x14ac:dyDescent="0.25"/>
    <row r="1378" ht="18" customHeight="1" x14ac:dyDescent="0.25"/>
    <row r="1379" ht="18" customHeight="1" x14ac:dyDescent="0.25"/>
    <row r="1380" ht="18" customHeight="1" x14ac:dyDescent="0.25"/>
    <row r="1381" ht="18" customHeight="1" x14ac:dyDescent="0.25"/>
    <row r="1382" ht="18" customHeight="1" x14ac:dyDescent="0.25"/>
    <row r="1383" ht="18" customHeight="1" x14ac:dyDescent="0.25"/>
    <row r="1384" ht="18" customHeight="1" x14ac:dyDescent="0.25"/>
    <row r="1385" ht="18" customHeight="1" x14ac:dyDescent="0.25"/>
    <row r="1386" ht="18" customHeight="1" x14ac:dyDescent="0.25"/>
    <row r="1387" ht="18" customHeight="1" x14ac:dyDescent="0.25"/>
    <row r="1388" ht="18" customHeight="1" x14ac:dyDescent="0.25"/>
    <row r="1389" ht="18" customHeight="1" x14ac:dyDescent="0.25"/>
    <row r="1390" ht="18" customHeight="1" x14ac:dyDescent="0.25"/>
    <row r="1391" ht="18" customHeight="1" x14ac:dyDescent="0.25"/>
    <row r="1392" ht="18" customHeight="1" x14ac:dyDescent="0.25"/>
    <row r="1393" ht="18" customHeight="1" x14ac:dyDescent="0.25"/>
    <row r="1394" ht="18" customHeight="1" x14ac:dyDescent="0.25"/>
    <row r="1395" ht="18" customHeight="1" x14ac:dyDescent="0.25"/>
    <row r="1396" ht="18" customHeight="1" x14ac:dyDescent="0.25"/>
    <row r="1397" ht="18" customHeight="1" x14ac:dyDescent="0.25"/>
    <row r="1398" ht="18" customHeight="1" x14ac:dyDescent="0.25"/>
    <row r="1399" ht="18" customHeight="1" x14ac:dyDescent="0.25"/>
    <row r="1400" ht="18" customHeight="1" x14ac:dyDescent="0.25"/>
    <row r="1401" ht="18" customHeight="1" x14ac:dyDescent="0.25"/>
    <row r="1402" ht="18" customHeight="1" x14ac:dyDescent="0.25"/>
    <row r="1403" ht="18" customHeight="1" x14ac:dyDescent="0.25"/>
    <row r="1404" ht="18" customHeight="1" x14ac:dyDescent="0.25"/>
    <row r="1405" ht="18" customHeight="1" x14ac:dyDescent="0.25"/>
    <row r="1406" ht="18" customHeight="1" x14ac:dyDescent="0.25"/>
    <row r="1407" ht="18" customHeight="1" x14ac:dyDescent="0.25"/>
    <row r="1408" ht="18" customHeight="1" x14ac:dyDescent="0.25"/>
    <row r="1409" ht="18" customHeight="1" x14ac:dyDescent="0.25"/>
    <row r="1410" ht="18" customHeight="1" x14ac:dyDescent="0.25"/>
    <row r="1411" ht="18" customHeight="1" x14ac:dyDescent="0.25"/>
    <row r="1412" ht="18" customHeight="1" x14ac:dyDescent="0.25"/>
    <row r="1413" ht="18" customHeight="1" x14ac:dyDescent="0.25"/>
    <row r="1414" ht="18" customHeight="1" x14ac:dyDescent="0.25"/>
    <row r="1415" ht="18" customHeight="1" x14ac:dyDescent="0.25"/>
    <row r="1416" ht="18" customHeight="1" x14ac:dyDescent="0.25"/>
    <row r="1417" ht="18" customHeight="1" x14ac:dyDescent="0.25"/>
    <row r="1418" ht="18" customHeight="1" x14ac:dyDescent="0.25"/>
    <row r="1419" ht="18" customHeight="1" x14ac:dyDescent="0.25"/>
    <row r="1420" ht="18" customHeight="1" x14ac:dyDescent="0.25"/>
    <row r="1421" ht="18" customHeight="1" x14ac:dyDescent="0.25"/>
    <row r="1422" ht="18" customHeight="1" x14ac:dyDescent="0.25"/>
    <row r="1423" ht="18" customHeight="1" x14ac:dyDescent="0.25"/>
    <row r="1424" ht="18" customHeight="1" x14ac:dyDescent="0.25"/>
    <row r="1425" ht="18" customHeight="1" x14ac:dyDescent="0.25"/>
    <row r="1426" ht="18" customHeight="1" x14ac:dyDescent="0.25"/>
    <row r="1427" ht="18" customHeight="1" x14ac:dyDescent="0.25"/>
    <row r="1428" ht="18" customHeight="1" x14ac:dyDescent="0.25"/>
    <row r="1429" ht="18" customHeight="1" x14ac:dyDescent="0.25"/>
    <row r="1430" ht="18" customHeight="1" x14ac:dyDescent="0.25"/>
    <row r="1431" ht="18" customHeight="1" x14ac:dyDescent="0.25"/>
    <row r="1432" ht="18" customHeight="1" x14ac:dyDescent="0.25"/>
    <row r="1433" ht="18" customHeight="1" x14ac:dyDescent="0.25"/>
    <row r="1434" ht="18" customHeight="1" x14ac:dyDescent="0.25"/>
    <row r="1435" ht="18" customHeight="1" x14ac:dyDescent="0.25"/>
    <row r="1436" ht="18" customHeight="1" x14ac:dyDescent="0.25"/>
    <row r="1437" ht="18" customHeight="1" x14ac:dyDescent="0.25"/>
    <row r="1438" ht="18" customHeight="1" x14ac:dyDescent="0.25"/>
    <row r="1439" ht="18" customHeight="1" x14ac:dyDescent="0.25"/>
    <row r="1440" ht="18" customHeight="1" x14ac:dyDescent="0.25"/>
    <row r="1441" ht="18" customHeight="1" x14ac:dyDescent="0.25"/>
    <row r="1442" ht="18" customHeight="1" x14ac:dyDescent="0.25"/>
    <row r="1443" ht="18" customHeight="1" x14ac:dyDescent="0.25"/>
    <row r="1444" ht="18" customHeight="1" x14ac:dyDescent="0.25"/>
    <row r="1445" ht="18" customHeight="1" x14ac:dyDescent="0.25"/>
    <row r="1446" ht="18" customHeight="1" x14ac:dyDescent="0.25"/>
    <row r="1447" ht="18" customHeight="1" x14ac:dyDescent="0.25"/>
    <row r="1448" ht="18" customHeight="1" x14ac:dyDescent="0.25"/>
    <row r="1449" ht="18" customHeight="1" x14ac:dyDescent="0.25"/>
    <row r="1450" ht="18" customHeight="1" x14ac:dyDescent="0.25"/>
    <row r="1451" ht="18" customHeight="1" x14ac:dyDescent="0.25"/>
    <row r="1452" ht="18" customHeight="1" x14ac:dyDescent="0.25"/>
    <row r="1453" ht="18" customHeight="1" x14ac:dyDescent="0.25"/>
    <row r="1454" ht="18" customHeight="1" x14ac:dyDescent="0.25"/>
    <row r="1455" ht="18" customHeight="1" x14ac:dyDescent="0.25"/>
    <row r="1456" ht="18" customHeight="1" x14ac:dyDescent="0.25"/>
    <row r="1457" ht="18" customHeight="1" x14ac:dyDescent="0.25"/>
    <row r="1458" ht="18" customHeight="1" x14ac:dyDescent="0.25"/>
    <row r="1459" ht="18" customHeight="1" x14ac:dyDescent="0.25"/>
    <row r="1460" ht="18" customHeight="1" x14ac:dyDescent="0.25"/>
    <row r="1461" ht="18" customHeight="1" x14ac:dyDescent="0.25"/>
    <row r="1462" ht="18" customHeight="1" x14ac:dyDescent="0.25"/>
    <row r="1463" ht="18" customHeight="1" x14ac:dyDescent="0.25"/>
    <row r="1464" ht="18" customHeight="1" x14ac:dyDescent="0.25"/>
    <row r="1465" ht="18" customHeight="1" x14ac:dyDescent="0.25"/>
    <row r="1466" ht="18" customHeight="1" x14ac:dyDescent="0.25"/>
    <row r="1467" ht="18" customHeight="1" x14ac:dyDescent="0.25"/>
    <row r="1468" ht="18" customHeight="1" x14ac:dyDescent="0.25"/>
    <row r="1469" ht="18" customHeight="1" x14ac:dyDescent="0.25"/>
    <row r="1470" ht="18" customHeight="1" x14ac:dyDescent="0.25"/>
    <row r="1471" ht="18" customHeight="1" x14ac:dyDescent="0.25"/>
    <row r="1472" ht="18" customHeight="1" x14ac:dyDescent="0.25"/>
    <row r="1473" ht="18" customHeight="1" x14ac:dyDescent="0.25"/>
    <row r="1474" ht="18" customHeight="1" x14ac:dyDescent="0.25"/>
    <row r="1475" ht="18" customHeight="1" x14ac:dyDescent="0.25"/>
    <row r="1476" ht="18" customHeight="1" x14ac:dyDescent="0.25"/>
    <row r="1477" ht="18" customHeight="1" x14ac:dyDescent="0.25"/>
    <row r="1478" ht="18" customHeight="1" x14ac:dyDescent="0.25"/>
    <row r="1479" ht="18" customHeight="1" x14ac:dyDescent="0.25"/>
    <row r="1480" ht="18" customHeight="1" x14ac:dyDescent="0.25"/>
    <row r="1481" ht="18" customHeight="1" x14ac:dyDescent="0.25"/>
    <row r="1482" ht="18" customHeight="1" x14ac:dyDescent="0.25"/>
    <row r="1483" ht="18" customHeight="1" x14ac:dyDescent="0.25"/>
    <row r="1484" ht="18" customHeight="1" x14ac:dyDescent="0.25"/>
    <row r="1485" ht="18" customHeight="1" x14ac:dyDescent="0.25"/>
    <row r="1486" ht="18" customHeight="1" x14ac:dyDescent="0.25"/>
    <row r="1487" ht="18" customHeight="1" x14ac:dyDescent="0.25"/>
    <row r="1488" ht="18" customHeight="1" x14ac:dyDescent="0.25"/>
    <row r="1489" ht="18" customHeight="1" x14ac:dyDescent="0.25"/>
    <row r="1490" ht="18" customHeight="1" x14ac:dyDescent="0.25"/>
    <row r="1491" ht="18" customHeight="1" x14ac:dyDescent="0.25"/>
    <row r="1492" ht="18" customHeight="1" x14ac:dyDescent="0.25"/>
    <row r="1493" ht="18" customHeight="1" x14ac:dyDescent="0.25"/>
    <row r="1494" ht="18" customHeight="1" x14ac:dyDescent="0.25"/>
    <row r="1495" ht="18" customHeight="1" x14ac:dyDescent="0.25"/>
    <row r="1496" ht="18" customHeight="1" x14ac:dyDescent="0.25"/>
    <row r="1497" ht="18" customHeight="1" x14ac:dyDescent="0.25"/>
    <row r="1498" ht="18" customHeight="1" x14ac:dyDescent="0.25"/>
    <row r="1499" ht="18" customHeight="1" x14ac:dyDescent="0.25"/>
    <row r="1500" ht="18" customHeight="1" x14ac:dyDescent="0.25"/>
    <row r="1501" ht="18" customHeight="1" x14ac:dyDescent="0.25"/>
    <row r="1502" ht="18" customHeight="1" x14ac:dyDescent="0.25"/>
    <row r="1503" ht="18" customHeight="1" x14ac:dyDescent="0.25"/>
    <row r="1504" ht="18" customHeight="1" x14ac:dyDescent="0.25"/>
    <row r="1505" ht="18" customHeight="1" x14ac:dyDescent="0.25"/>
    <row r="1506" ht="18" customHeight="1" x14ac:dyDescent="0.25"/>
    <row r="1507" ht="18" customHeight="1" x14ac:dyDescent="0.25"/>
    <row r="1508" ht="18" customHeight="1" x14ac:dyDescent="0.25"/>
    <row r="1509" ht="18" customHeight="1" x14ac:dyDescent="0.25"/>
    <row r="1510" ht="18" customHeight="1" x14ac:dyDescent="0.25"/>
    <row r="1511" ht="18" customHeight="1" x14ac:dyDescent="0.25"/>
    <row r="1512" ht="18" customHeight="1" x14ac:dyDescent="0.25"/>
    <row r="1513" ht="18" customHeight="1" x14ac:dyDescent="0.25"/>
    <row r="1514" ht="18" customHeight="1" x14ac:dyDescent="0.25"/>
    <row r="1515" ht="18" customHeight="1" x14ac:dyDescent="0.25"/>
    <row r="1516" ht="18" customHeight="1" x14ac:dyDescent="0.25"/>
    <row r="1517" ht="18" customHeight="1" x14ac:dyDescent="0.25"/>
    <row r="1518" ht="18" customHeight="1" x14ac:dyDescent="0.25"/>
    <row r="1519" ht="18" customHeight="1" x14ac:dyDescent="0.25"/>
    <row r="1520" ht="18" customHeight="1" x14ac:dyDescent="0.25"/>
    <row r="1521" ht="18" customHeight="1" x14ac:dyDescent="0.25"/>
    <row r="1522" ht="18" customHeight="1" x14ac:dyDescent="0.25"/>
    <row r="1523" ht="18" customHeight="1" x14ac:dyDescent="0.25"/>
    <row r="1524" ht="18" customHeight="1" x14ac:dyDescent="0.25"/>
    <row r="1525" ht="18" customHeight="1" x14ac:dyDescent="0.25"/>
    <row r="1526" ht="18" customHeight="1" x14ac:dyDescent="0.25"/>
    <row r="1527" ht="18" customHeight="1" x14ac:dyDescent="0.25"/>
    <row r="1528" ht="18" customHeight="1" x14ac:dyDescent="0.25"/>
    <row r="1529" ht="18" customHeight="1" x14ac:dyDescent="0.25"/>
    <row r="1530" ht="18" customHeight="1" x14ac:dyDescent="0.25"/>
    <row r="1531" ht="18" customHeight="1" x14ac:dyDescent="0.25"/>
    <row r="1532" ht="18" customHeight="1" x14ac:dyDescent="0.25"/>
    <row r="1533" ht="18" customHeight="1" x14ac:dyDescent="0.25"/>
    <row r="1534" ht="18" customHeight="1" x14ac:dyDescent="0.25"/>
    <row r="1535" ht="18" customHeight="1" x14ac:dyDescent="0.25"/>
    <row r="1536" ht="18" customHeight="1" x14ac:dyDescent="0.25"/>
    <row r="1537" ht="18" customHeight="1" x14ac:dyDescent="0.25"/>
    <row r="1538" ht="18" customHeight="1" x14ac:dyDescent="0.25"/>
    <row r="1539" ht="18" customHeight="1" x14ac:dyDescent="0.25"/>
    <row r="1540" ht="18" customHeight="1" x14ac:dyDescent="0.25"/>
    <row r="1541" ht="18" customHeight="1" x14ac:dyDescent="0.25"/>
    <row r="1542" ht="18" customHeight="1" x14ac:dyDescent="0.25"/>
    <row r="1543" ht="18" customHeight="1" x14ac:dyDescent="0.25"/>
    <row r="1544" ht="18" customHeight="1" x14ac:dyDescent="0.25"/>
    <row r="1545" ht="18" customHeight="1" x14ac:dyDescent="0.25"/>
    <row r="1546" ht="18" customHeight="1" x14ac:dyDescent="0.25"/>
    <row r="1547" ht="18" customHeight="1" x14ac:dyDescent="0.25"/>
    <row r="1548" ht="18" customHeight="1" x14ac:dyDescent="0.25"/>
    <row r="1549" ht="18" customHeight="1" x14ac:dyDescent="0.25"/>
    <row r="1550" ht="18" customHeight="1" x14ac:dyDescent="0.25"/>
    <row r="1551" ht="18" customHeight="1" x14ac:dyDescent="0.25"/>
    <row r="1552" ht="18" customHeight="1" x14ac:dyDescent="0.25"/>
    <row r="1553" ht="18" customHeight="1" x14ac:dyDescent="0.25"/>
    <row r="1554" ht="18" customHeight="1" x14ac:dyDescent="0.25"/>
    <row r="1555" ht="18" customHeight="1" x14ac:dyDescent="0.25"/>
    <row r="1556" ht="18" customHeight="1" x14ac:dyDescent="0.25"/>
    <row r="1557" ht="18" customHeight="1" x14ac:dyDescent="0.25"/>
    <row r="1558" ht="18" customHeight="1" x14ac:dyDescent="0.25"/>
    <row r="1559" ht="18" customHeight="1" x14ac:dyDescent="0.25"/>
    <row r="1560" ht="18" customHeight="1" x14ac:dyDescent="0.25"/>
    <row r="1561" ht="18" customHeight="1" x14ac:dyDescent="0.25"/>
    <row r="1562" ht="18" customHeight="1" x14ac:dyDescent="0.25"/>
    <row r="1563" ht="18" customHeight="1" x14ac:dyDescent="0.25"/>
    <row r="1564" ht="18" customHeight="1" x14ac:dyDescent="0.25"/>
    <row r="1565" ht="18" customHeight="1" x14ac:dyDescent="0.25"/>
    <row r="1566" ht="18" customHeight="1" x14ac:dyDescent="0.25"/>
    <row r="1567" ht="18" customHeight="1" x14ac:dyDescent="0.25"/>
    <row r="1568" ht="18" customHeight="1" x14ac:dyDescent="0.25"/>
    <row r="1569" ht="18" customHeight="1" x14ac:dyDescent="0.25"/>
    <row r="1570" ht="18" customHeight="1" x14ac:dyDescent="0.25"/>
    <row r="1571" ht="18" customHeight="1" x14ac:dyDescent="0.25"/>
    <row r="1572" ht="18" customHeight="1" x14ac:dyDescent="0.25"/>
    <row r="1573" ht="18" customHeight="1" x14ac:dyDescent="0.25"/>
    <row r="1574" ht="18" customHeight="1" x14ac:dyDescent="0.25"/>
    <row r="1575" ht="18" customHeight="1" x14ac:dyDescent="0.25"/>
    <row r="1576" ht="18" customHeight="1" x14ac:dyDescent="0.25"/>
    <row r="1577" ht="18" customHeight="1" x14ac:dyDescent="0.25"/>
    <row r="1578" ht="18" customHeight="1" x14ac:dyDescent="0.25"/>
    <row r="1579" ht="18" customHeight="1" x14ac:dyDescent="0.25"/>
    <row r="1580" ht="18" customHeight="1" x14ac:dyDescent="0.25"/>
    <row r="1581" ht="18" customHeight="1" x14ac:dyDescent="0.25"/>
    <row r="1582" ht="18" customHeight="1" x14ac:dyDescent="0.25"/>
    <row r="1583" ht="18" customHeight="1" x14ac:dyDescent="0.25"/>
    <row r="1584" ht="18" customHeight="1" x14ac:dyDescent="0.25"/>
    <row r="1585" ht="18" customHeight="1" x14ac:dyDescent="0.25"/>
    <row r="1586" ht="18" customHeight="1" x14ac:dyDescent="0.25"/>
    <row r="1587" ht="18" customHeight="1" x14ac:dyDescent="0.25"/>
    <row r="1588" ht="18" customHeight="1" x14ac:dyDescent="0.25"/>
    <row r="1589" ht="18" customHeight="1" x14ac:dyDescent="0.25"/>
    <row r="1590" ht="18" customHeight="1" x14ac:dyDescent="0.25"/>
    <row r="1591" ht="18" customHeight="1" x14ac:dyDescent="0.25"/>
    <row r="1592" ht="18" customHeight="1" x14ac:dyDescent="0.25"/>
    <row r="1593" ht="18" customHeight="1" x14ac:dyDescent="0.25"/>
    <row r="1594" ht="18" customHeight="1" x14ac:dyDescent="0.25"/>
    <row r="1595" ht="18" customHeight="1" x14ac:dyDescent="0.25"/>
    <row r="1596" ht="18" customHeight="1" x14ac:dyDescent="0.25"/>
    <row r="1597" ht="18" customHeight="1" x14ac:dyDescent="0.25"/>
    <row r="1598" ht="18" customHeight="1" x14ac:dyDescent="0.25"/>
    <row r="1599" ht="18" customHeight="1" x14ac:dyDescent="0.25"/>
    <row r="1600" ht="18" customHeight="1" x14ac:dyDescent="0.25"/>
    <row r="1601" ht="18" customHeight="1" x14ac:dyDescent="0.25"/>
    <row r="1602" ht="18" customHeight="1" x14ac:dyDescent="0.25"/>
    <row r="1603" ht="18" customHeight="1" x14ac:dyDescent="0.25"/>
    <row r="1604" ht="18" customHeight="1" x14ac:dyDescent="0.25"/>
    <row r="1605" ht="18" customHeight="1" x14ac:dyDescent="0.25"/>
    <row r="1606" ht="18" customHeight="1" x14ac:dyDescent="0.25"/>
    <row r="1607" ht="18" customHeight="1" x14ac:dyDescent="0.25"/>
    <row r="1608" ht="18" customHeight="1" x14ac:dyDescent="0.25"/>
    <row r="1609" ht="18" customHeight="1" x14ac:dyDescent="0.25"/>
    <row r="1610" ht="18" customHeight="1" x14ac:dyDescent="0.25"/>
    <row r="1611" ht="18" customHeight="1" x14ac:dyDescent="0.25"/>
    <row r="1612" ht="18" customHeight="1" x14ac:dyDescent="0.25"/>
    <row r="1613" ht="18" customHeight="1" x14ac:dyDescent="0.25"/>
    <row r="1614" ht="18" customHeight="1" x14ac:dyDescent="0.25"/>
    <row r="1615" ht="18" customHeight="1" x14ac:dyDescent="0.25"/>
    <row r="1616" ht="18" customHeight="1" x14ac:dyDescent="0.25"/>
    <row r="1617" ht="18" customHeight="1" x14ac:dyDescent="0.25"/>
    <row r="1618" ht="18" customHeight="1" x14ac:dyDescent="0.25"/>
    <row r="1619" ht="18" customHeight="1" x14ac:dyDescent="0.25"/>
    <row r="1620" ht="18" customHeight="1" x14ac:dyDescent="0.25"/>
    <row r="1621" ht="18" customHeight="1" x14ac:dyDescent="0.25"/>
    <row r="1622" ht="18" customHeight="1" x14ac:dyDescent="0.25"/>
    <row r="1623" ht="18" customHeight="1" x14ac:dyDescent="0.25"/>
    <row r="1624" ht="18" customHeight="1" x14ac:dyDescent="0.25"/>
    <row r="1625" ht="18" customHeight="1" x14ac:dyDescent="0.25"/>
    <row r="1626" ht="18" customHeight="1" x14ac:dyDescent="0.25"/>
    <row r="1627" ht="18" customHeight="1" x14ac:dyDescent="0.25"/>
    <row r="1628" ht="18" customHeight="1" x14ac:dyDescent="0.25"/>
    <row r="1629" ht="18" customHeight="1" x14ac:dyDescent="0.25"/>
    <row r="1630" ht="18" customHeight="1" x14ac:dyDescent="0.25"/>
    <row r="1631" ht="18" customHeight="1" x14ac:dyDescent="0.25"/>
    <row r="1632" ht="18" customHeight="1" x14ac:dyDescent="0.25"/>
    <row r="1633" ht="18" customHeight="1" x14ac:dyDescent="0.25"/>
    <row r="1634" ht="18" customHeight="1" x14ac:dyDescent="0.25"/>
    <row r="1635" ht="18" customHeight="1" x14ac:dyDescent="0.25"/>
    <row r="1636" ht="18" customHeight="1" x14ac:dyDescent="0.25"/>
    <row r="1637" ht="18" customHeight="1" x14ac:dyDescent="0.25"/>
    <row r="1638" ht="18" customHeight="1" x14ac:dyDescent="0.25"/>
    <row r="1639" ht="18" customHeight="1" x14ac:dyDescent="0.25"/>
    <row r="1640" ht="18" customHeight="1" x14ac:dyDescent="0.25"/>
    <row r="1641" ht="18" customHeight="1" x14ac:dyDescent="0.25"/>
    <row r="1642" ht="18" customHeight="1" x14ac:dyDescent="0.25"/>
    <row r="1643" ht="18" customHeight="1" x14ac:dyDescent="0.25"/>
    <row r="1644" ht="18" customHeight="1" x14ac:dyDescent="0.25"/>
    <row r="1645" ht="18" customHeight="1" x14ac:dyDescent="0.25"/>
    <row r="1646" ht="18" customHeight="1" x14ac:dyDescent="0.25"/>
    <row r="1647" ht="18" customHeight="1" x14ac:dyDescent="0.25"/>
    <row r="1648" ht="18" customHeight="1" x14ac:dyDescent="0.25"/>
    <row r="1649" ht="18" customHeight="1" x14ac:dyDescent="0.25"/>
    <row r="1650" ht="18" customHeight="1" x14ac:dyDescent="0.25"/>
    <row r="1651" ht="18" customHeight="1" x14ac:dyDescent="0.25"/>
    <row r="1652" ht="18" customHeight="1" x14ac:dyDescent="0.25"/>
    <row r="1653" ht="18" customHeight="1" x14ac:dyDescent="0.25"/>
    <row r="1654" ht="18" customHeight="1" x14ac:dyDescent="0.25"/>
    <row r="1655" ht="18" customHeight="1" x14ac:dyDescent="0.25"/>
    <row r="1656" ht="18" customHeight="1" x14ac:dyDescent="0.25"/>
    <row r="1657" ht="18" customHeight="1" x14ac:dyDescent="0.25"/>
    <row r="1658" ht="18" customHeight="1" x14ac:dyDescent="0.25"/>
    <row r="1659" ht="18" customHeight="1" x14ac:dyDescent="0.25"/>
    <row r="1660" ht="18" customHeight="1" x14ac:dyDescent="0.25"/>
    <row r="1661" ht="18" customHeight="1" x14ac:dyDescent="0.25"/>
    <row r="1662" ht="18" customHeight="1" x14ac:dyDescent="0.25"/>
    <row r="1663" ht="18" customHeight="1" x14ac:dyDescent="0.25"/>
    <row r="1664" ht="18" customHeight="1" x14ac:dyDescent="0.25"/>
    <row r="1665" ht="18" customHeight="1" x14ac:dyDescent="0.25"/>
    <row r="1666" ht="18" customHeight="1" x14ac:dyDescent="0.25"/>
    <row r="1667" ht="18" customHeight="1" x14ac:dyDescent="0.25"/>
    <row r="1668" ht="18" customHeight="1" x14ac:dyDescent="0.25"/>
    <row r="1669" ht="18" customHeight="1" x14ac:dyDescent="0.25"/>
    <row r="1670" ht="18" customHeight="1" x14ac:dyDescent="0.25"/>
    <row r="1671" ht="18" customHeight="1" x14ac:dyDescent="0.25"/>
    <row r="1672" ht="18" customHeight="1" x14ac:dyDescent="0.25"/>
    <row r="1673" ht="18" customHeight="1" x14ac:dyDescent="0.25"/>
    <row r="1674" ht="18" customHeight="1" x14ac:dyDescent="0.25"/>
    <row r="1675" ht="18" customHeight="1" x14ac:dyDescent="0.25"/>
    <row r="1676" ht="18" customHeight="1" x14ac:dyDescent="0.25"/>
    <row r="1677" ht="18" customHeight="1" x14ac:dyDescent="0.25"/>
    <row r="1678" ht="18" customHeight="1" x14ac:dyDescent="0.25"/>
    <row r="1679" ht="18" customHeight="1" x14ac:dyDescent="0.25"/>
    <row r="1680" ht="18" customHeight="1" x14ac:dyDescent="0.25"/>
    <row r="1681" ht="18" customHeight="1" x14ac:dyDescent="0.25"/>
    <row r="1682" ht="18" customHeight="1" x14ac:dyDescent="0.25"/>
    <row r="1683" ht="18" customHeight="1" x14ac:dyDescent="0.25"/>
    <row r="1684" ht="18" customHeight="1" x14ac:dyDescent="0.25"/>
    <row r="1685" ht="18" customHeight="1" x14ac:dyDescent="0.25"/>
    <row r="1686" ht="18" customHeight="1" x14ac:dyDescent="0.25"/>
    <row r="1687" ht="18" customHeight="1" x14ac:dyDescent="0.25"/>
    <row r="1688" ht="18" customHeight="1" x14ac:dyDescent="0.25"/>
    <row r="1689" ht="18" customHeight="1" x14ac:dyDescent="0.25"/>
    <row r="1690" ht="18" customHeight="1" x14ac:dyDescent="0.25"/>
    <row r="1691" ht="18" customHeight="1" x14ac:dyDescent="0.25"/>
    <row r="1692" ht="18" customHeight="1" x14ac:dyDescent="0.25"/>
    <row r="1693" ht="18" customHeight="1" x14ac:dyDescent="0.25"/>
    <row r="1694" ht="18" customHeight="1" x14ac:dyDescent="0.25"/>
    <row r="1695" ht="18" customHeight="1" x14ac:dyDescent="0.25"/>
    <row r="1696" ht="18" customHeight="1" x14ac:dyDescent="0.25"/>
    <row r="1697" ht="18" customHeight="1" x14ac:dyDescent="0.25"/>
    <row r="1698" ht="18" customHeight="1" x14ac:dyDescent="0.25"/>
    <row r="1699" ht="18" customHeight="1" x14ac:dyDescent="0.25"/>
    <row r="1700" ht="18" customHeight="1" x14ac:dyDescent="0.25"/>
    <row r="1701" ht="18" customHeight="1" x14ac:dyDescent="0.25"/>
    <row r="1702" ht="18" customHeight="1" x14ac:dyDescent="0.25"/>
    <row r="1703" ht="18" customHeight="1" x14ac:dyDescent="0.25"/>
    <row r="1704" ht="18" customHeight="1" x14ac:dyDescent="0.25"/>
    <row r="1705" ht="18" customHeight="1" x14ac:dyDescent="0.25"/>
    <row r="1706" ht="18" customHeight="1" x14ac:dyDescent="0.25"/>
    <row r="1707" ht="18" customHeight="1" x14ac:dyDescent="0.25"/>
    <row r="1708" ht="18" customHeight="1" x14ac:dyDescent="0.25"/>
    <row r="1709" ht="18" customHeight="1" x14ac:dyDescent="0.25"/>
    <row r="1710" ht="18" customHeight="1" x14ac:dyDescent="0.25"/>
    <row r="1711" ht="18" customHeight="1" x14ac:dyDescent="0.25"/>
    <row r="1712" ht="18" customHeight="1" x14ac:dyDescent="0.25"/>
    <row r="1713" ht="18" customHeight="1" x14ac:dyDescent="0.25"/>
    <row r="1714" ht="18" customHeight="1" x14ac:dyDescent="0.25"/>
    <row r="1715" ht="18" customHeight="1" x14ac:dyDescent="0.25"/>
    <row r="1716" ht="18" customHeight="1" x14ac:dyDescent="0.25"/>
    <row r="1717" ht="18" customHeight="1" x14ac:dyDescent="0.25"/>
    <row r="1718" ht="18" customHeight="1" x14ac:dyDescent="0.25"/>
    <row r="1719" ht="18" customHeight="1" x14ac:dyDescent="0.25"/>
    <row r="1720" ht="18" customHeight="1" x14ac:dyDescent="0.25"/>
    <row r="1721" ht="18" customHeight="1" x14ac:dyDescent="0.25"/>
    <row r="1722" ht="18" customHeight="1" x14ac:dyDescent="0.25"/>
    <row r="1723" ht="18" customHeight="1" x14ac:dyDescent="0.25"/>
    <row r="1724" ht="18" customHeight="1" x14ac:dyDescent="0.25"/>
    <row r="1725" ht="18" customHeight="1" x14ac:dyDescent="0.25"/>
    <row r="1726" ht="18" customHeight="1" x14ac:dyDescent="0.25"/>
    <row r="1727" ht="18" customHeight="1" x14ac:dyDescent="0.25"/>
    <row r="1728" ht="18" customHeight="1" x14ac:dyDescent="0.25"/>
    <row r="1729" ht="18" customHeight="1" x14ac:dyDescent="0.25"/>
    <row r="1730" ht="18" customHeight="1" x14ac:dyDescent="0.25"/>
    <row r="1731" ht="18" customHeight="1" x14ac:dyDescent="0.25"/>
    <row r="1732" ht="18" customHeight="1" x14ac:dyDescent="0.25"/>
    <row r="1733" ht="18" customHeight="1" x14ac:dyDescent="0.25"/>
    <row r="1734" ht="18" customHeight="1" x14ac:dyDescent="0.25"/>
    <row r="1735" ht="18" customHeight="1" x14ac:dyDescent="0.25"/>
    <row r="1736" ht="18" customHeight="1" x14ac:dyDescent="0.25"/>
    <row r="1737" ht="18" customHeight="1" x14ac:dyDescent="0.25"/>
    <row r="1738" ht="18" customHeight="1" x14ac:dyDescent="0.25"/>
    <row r="1739" ht="18" customHeight="1" x14ac:dyDescent="0.25"/>
    <row r="1740" ht="18" customHeight="1" x14ac:dyDescent="0.25"/>
    <row r="1741" ht="18" customHeight="1" x14ac:dyDescent="0.25"/>
    <row r="1742" ht="18" customHeight="1" x14ac:dyDescent="0.25"/>
    <row r="1743" ht="18" customHeight="1" x14ac:dyDescent="0.25"/>
    <row r="1744" ht="18" customHeight="1" x14ac:dyDescent="0.25"/>
    <row r="1745" ht="18" customHeight="1" x14ac:dyDescent="0.25"/>
    <row r="1746" ht="18" customHeight="1" x14ac:dyDescent="0.25"/>
    <row r="1747" ht="18" customHeight="1" x14ac:dyDescent="0.25"/>
    <row r="1748" ht="18" customHeight="1" x14ac:dyDescent="0.25"/>
    <row r="1749" ht="18" customHeight="1" x14ac:dyDescent="0.25"/>
    <row r="1750" ht="18" customHeight="1" x14ac:dyDescent="0.25"/>
    <row r="1751" ht="18" customHeight="1" x14ac:dyDescent="0.25"/>
    <row r="1752" ht="18" customHeight="1" x14ac:dyDescent="0.25"/>
    <row r="1753" ht="18" customHeight="1" x14ac:dyDescent="0.25"/>
    <row r="1754" ht="18" customHeight="1" x14ac:dyDescent="0.25"/>
    <row r="1755" ht="18" customHeight="1" x14ac:dyDescent="0.25"/>
    <row r="1756" ht="18" customHeight="1" x14ac:dyDescent="0.25"/>
    <row r="1757" ht="18" customHeight="1" x14ac:dyDescent="0.25"/>
    <row r="1758" ht="18" customHeight="1" x14ac:dyDescent="0.25"/>
    <row r="1759" ht="18" customHeight="1" x14ac:dyDescent="0.25"/>
    <row r="1760" ht="18" customHeight="1" x14ac:dyDescent="0.25"/>
    <row r="1761" ht="18" customHeight="1" x14ac:dyDescent="0.25"/>
    <row r="1762" ht="18" customHeight="1" x14ac:dyDescent="0.25"/>
    <row r="1763" ht="18" customHeight="1" x14ac:dyDescent="0.25"/>
    <row r="1764" ht="18" customHeight="1" x14ac:dyDescent="0.25"/>
    <row r="1765" ht="18" customHeight="1" x14ac:dyDescent="0.25"/>
    <row r="1766" ht="18" customHeight="1" x14ac:dyDescent="0.25"/>
    <row r="1767" ht="18" customHeight="1" x14ac:dyDescent="0.25"/>
    <row r="1768" ht="18" customHeight="1" x14ac:dyDescent="0.25"/>
    <row r="1769" ht="18" customHeight="1" x14ac:dyDescent="0.25"/>
    <row r="1770" ht="18" customHeight="1" x14ac:dyDescent="0.25"/>
    <row r="1771" ht="18" customHeight="1" x14ac:dyDescent="0.25"/>
    <row r="1772" ht="18" customHeight="1" x14ac:dyDescent="0.25"/>
    <row r="1773" ht="18" customHeight="1" x14ac:dyDescent="0.25"/>
    <row r="1774" ht="18" customHeight="1" x14ac:dyDescent="0.25"/>
    <row r="1775" ht="18" customHeight="1" x14ac:dyDescent="0.25"/>
    <row r="1776" ht="18" customHeight="1" x14ac:dyDescent="0.25"/>
    <row r="1777" ht="18" customHeight="1" x14ac:dyDescent="0.25"/>
    <row r="1778" ht="18" customHeight="1" x14ac:dyDescent="0.25"/>
    <row r="1779" ht="18" customHeight="1" x14ac:dyDescent="0.25"/>
    <row r="1780" ht="18" customHeight="1" x14ac:dyDescent="0.25"/>
    <row r="1781" ht="18" customHeight="1" x14ac:dyDescent="0.25"/>
    <row r="1782" ht="18" customHeight="1" x14ac:dyDescent="0.25"/>
    <row r="1783" ht="18" customHeight="1" x14ac:dyDescent="0.25"/>
    <row r="1784" ht="18" customHeight="1" x14ac:dyDescent="0.25"/>
    <row r="1785" ht="18" customHeight="1" x14ac:dyDescent="0.25"/>
    <row r="1786" ht="18" customHeight="1" x14ac:dyDescent="0.25"/>
    <row r="1787" ht="18" customHeight="1" x14ac:dyDescent="0.25"/>
    <row r="1788" ht="18" customHeight="1" x14ac:dyDescent="0.25"/>
    <row r="1789" ht="18" customHeight="1" x14ac:dyDescent="0.25"/>
    <row r="1790" ht="18" customHeight="1" x14ac:dyDescent="0.25"/>
    <row r="1791" ht="18" customHeight="1" x14ac:dyDescent="0.25"/>
    <row r="1792" ht="18" customHeight="1" x14ac:dyDescent="0.25"/>
    <row r="1793" ht="18" customHeight="1" x14ac:dyDescent="0.25"/>
    <row r="1794" ht="18" customHeight="1" x14ac:dyDescent="0.25"/>
    <row r="1795" ht="18" customHeight="1" x14ac:dyDescent="0.25"/>
    <row r="1796" ht="18" customHeight="1" x14ac:dyDescent="0.25"/>
    <row r="1797" ht="18" customHeight="1" x14ac:dyDescent="0.25"/>
    <row r="1798" ht="18" customHeight="1" x14ac:dyDescent="0.25"/>
    <row r="1799" ht="18" customHeight="1" x14ac:dyDescent="0.25"/>
    <row r="1800" ht="18" customHeight="1" x14ac:dyDescent="0.25"/>
    <row r="1801" ht="18" customHeight="1" x14ac:dyDescent="0.25"/>
    <row r="1802" ht="18" customHeight="1" x14ac:dyDescent="0.25"/>
    <row r="1803" ht="18" customHeight="1" x14ac:dyDescent="0.25"/>
    <row r="1804" ht="18" customHeight="1" x14ac:dyDescent="0.25"/>
    <row r="1805" ht="18" customHeight="1" x14ac:dyDescent="0.25"/>
    <row r="1806" ht="18" customHeight="1" x14ac:dyDescent="0.25"/>
    <row r="1807" ht="18" customHeight="1" x14ac:dyDescent="0.25"/>
    <row r="1808" ht="18" customHeight="1" x14ac:dyDescent="0.25"/>
    <row r="1809" ht="18" customHeight="1" x14ac:dyDescent="0.25"/>
    <row r="1810" ht="18" customHeight="1" x14ac:dyDescent="0.25"/>
    <row r="1811" ht="18" customHeight="1" x14ac:dyDescent="0.25"/>
    <row r="1812" ht="18" customHeight="1" x14ac:dyDescent="0.25"/>
    <row r="1813" ht="18" customHeight="1" x14ac:dyDescent="0.25"/>
    <row r="1814" ht="18" customHeight="1" x14ac:dyDescent="0.25"/>
    <row r="1815" ht="18" customHeight="1" x14ac:dyDescent="0.25"/>
    <row r="1816" ht="18" customHeight="1" x14ac:dyDescent="0.25"/>
    <row r="1817" ht="18" customHeight="1" x14ac:dyDescent="0.25"/>
    <row r="1818" ht="18" customHeight="1" x14ac:dyDescent="0.25"/>
    <row r="1819" ht="18" customHeight="1" x14ac:dyDescent="0.25"/>
    <row r="1820" ht="18" customHeight="1" x14ac:dyDescent="0.25"/>
    <row r="1821" ht="18" customHeight="1" x14ac:dyDescent="0.25"/>
    <row r="1822" ht="18" customHeight="1" x14ac:dyDescent="0.25"/>
    <row r="1823" ht="18" customHeight="1" x14ac:dyDescent="0.25"/>
    <row r="1824" ht="18" customHeight="1" x14ac:dyDescent="0.25"/>
    <row r="1825" ht="18" customHeight="1" x14ac:dyDescent="0.25"/>
    <row r="1826" ht="18" customHeight="1" x14ac:dyDescent="0.25"/>
    <row r="1827" ht="18" customHeight="1" x14ac:dyDescent="0.25"/>
    <row r="1828" ht="18" customHeight="1" x14ac:dyDescent="0.25"/>
    <row r="1829" ht="18" customHeight="1" x14ac:dyDescent="0.25"/>
    <row r="1830" ht="18" customHeight="1" x14ac:dyDescent="0.25"/>
    <row r="1831" ht="18" customHeight="1" x14ac:dyDescent="0.25"/>
    <row r="1832" ht="18" customHeight="1" x14ac:dyDescent="0.25"/>
    <row r="1833" ht="18" customHeight="1" x14ac:dyDescent="0.25"/>
    <row r="1834" ht="18" customHeight="1" x14ac:dyDescent="0.25"/>
    <row r="1835" ht="18" customHeight="1" x14ac:dyDescent="0.25"/>
    <row r="1836" ht="18" customHeight="1" x14ac:dyDescent="0.25"/>
    <row r="1837" ht="18" customHeight="1" x14ac:dyDescent="0.25"/>
    <row r="1838" ht="18" customHeight="1" x14ac:dyDescent="0.25"/>
    <row r="1839" ht="18" customHeight="1" x14ac:dyDescent="0.25"/>
    <row r="1840" ht="18" customHeight="1" x14ac:dyDescent="0.25"/>
    <row r="1841" ht="18" customHeight="1" x14ac:dyDescent="0.25"/>
    <row r="1842" ht="18" customHeight="1" x14ac:dyDescent="0.25"/>
    <row r="1843" ht="18" customHeight="1" x14ac:dyDescent="0.25"/>
    <row r="1844" ht="18" customHeight="1" x14ac:dyDescent="0.25"/>
    <row r="1845" ht="18" customHeight="1" x14ac:dyDescent="0.25"/>
    <row r="1846" ht="18" customHeight="1" x14ac:dyDescent="0.25"/>
    <row r="1847" ht="18" customHeight="1" x14ac:dyDescent="0.25"/>
    <row r="1848" ht="18" customHeight="1" x14ac:dyDescent="0.25"/>
    <row r="1849" ht="18" customHeight="1" x14ac:dyDescent="0.25"/>
    <row r="1850" ht="18" customHeight="1" x14ac:dyDescent="0.25"/>
    <row r="1851" ht="18" customHeight="1" x14ac:dyDescent="0.25"/>
    <row r="1852" ht="18" customHeight="1" x14ac:dyDescent="0.25"/>
    <row r="1853" ht="18" customHeight="1" x14ac:dyDescent="0.25"/>
    <row r="1854" ht="18" customHeight="1" x14ac:dyDescent="0.25"/>
    <row r="1855" ht="18" customHeight="1" x14ac:dyDescent="0.25"/>
    <row r="1856" ht="18" customHeight="1" x14ac:dyDescent="0.25"/>
    <row r="1857" ht="18" customHeight="1" x14ac:dyDescent="0.25"/>
    <row r="1858" ht="18" customHeight="1" x14ac:dyDescent="0.25"/>
    <row r="1859" ht="18" customHeight="1" x14ac:dyDescent="0.25"/>
    <row r="1860" ht="18" customHeight="1" x14ac:dyDescent="0.25"/>
    <row r="1861" ht="18" customHeight="1" x14ac:dyDescent="0.25"/>
    <row r="1862" ht="18" customHeight="1" x14ac:dyDescent="0.25"/>
    <row r="1863" ht="18" customHeight="1" x14ac:dyDescent="0.25"/>
    <row r="1864" ht="18" customHeight="1" x14ac:dyDescent="0.25"/>
    <row r="1865" ht="18" customHeight="1" x14ac:dyDescent="0.25"/>
    <row r="1866" ht="18" customHeight="1" x14ac:dyDescent="0.25"/>
    <row r="1867" ht="18" customHeight="1" x14ac:dyDescent="0.25"/>
    <row r="1868" ht="18" customHeight="1" x14ac:dyDescent="0.25"/>
    <row r="1869" ht="18" customHeight="1" x14ac:dyDescent="0.25"/>
    <row r="1870" ht="18" customHeight="1" x14ac:dyDescent="0.25"/>
    <row r="1871" ht="18" customHeight="1" x14ac:dyDescent="0.25"/>
    <row r="1872" ht="18" customHeight="1" x14ac:dyDescent="0.25"/>
    <row r="1873" ht="18" customHeight="1" x14ac:dyDescent="0.25"/>
    <row r="1874" ht="18" customHeight="1" x14ac:dyDescent="0.25"/>
    <row r="1875" ht="18" customHeight="1" x14ac:dyDescent="0.25"/>
    <row r="1876" ht="18" customHeight="1" x14ac:dyDescent="0.25"/>
    <row r="1877" ht="18" customHeight="1" x14ac:dyDescent="0.25"/>
    <row r="1878" ht="18" customHeight="1" x14ac:dyDescent="0.25"/>
    <row r="1879" ht="18" customHeight="1" x14ac:dyDescent="0.25"/>
    <row r="1880" ht="18" customHeight="1" x14ac:dyDescent="0.25"/>
    <row r="1881" ht="18" customHeight="1" x14ac:dyDescent="0.25"/>
    <row r="1882" ht="18" customHeight="1" x14ac:dyDescent="0.25"/>
    <row r="1883" ht="18" customHeight="1" x14ac:dyDescent="0.25"/>
    <row r="1884" ht="18" customHeight="1" x14ac:dyDescent="0.25"/>
    <row r="1885" ht="18" customHeight="1" x14ac:dyDescent="0.25"/>
    <row r="1886" ht="18" customHeight="1" x14ac:dyDescent="0.25"/>
    <row r="1887" ht="18" customHeight="1" x14ac:dyDescent="0.25"/>
    <row r="1888" ht="18" customHeight="1" x14ac:dyDescent="0.25"/>
    <row r="1889" ht="18" customHeight="1" x14ac:dyDescent="0.25"/>
    <row r="1890" ht="18" customHeight="1" x14ac:dyDescent="0.25"/>
    <row r="1891" ht="18" customHeight="1" x14ac:dyDescent="0.25"/>
    <row r="1892" ht="18" customHeight="1" x14ac:dyDescent="0.25"/>
    <row r="1893" ht="18" customHeight="1" x14ac:dyDescent="0.25"/>
    <row r="1894" ht="18" customHeight="1" x14ac:dyDescent="0.25"/>
    <row r="1895" ht="18" customHeight="1" x14ac:dyDescent="0.25"/>
    <row r="1896" ht="18" customHeight="1" x14ac:dyDescent="0.25"/>
    <row r="1897" ht="18" customHeight="1" x14ac:dyDescent="0.25"/>
    <row r="1898" ht="18" customHeight="1" x14ac:dyDescent="0.25"/>
    <row r="1899" ht="18" customHeight="1" x14ac:dyDescent="0.25"/>
    <row r="1900" ht="18" customHeight="1" x14ac:dyDescent="0.25"/>
    <row r="1901" ht="18" customHeight="1" x14ac:dyDescent="0.25"/>
    <row r="1902" ht="18" customHeight="1" x14ac:dyDescent="0.25"/>
    <row r="1903" ht="18" customHeight="1" x14ac:dyDescent="0.25"/>
    <row r="1904" ht="18" customHeight="1" x14ac:dyDescent="0.25"/>
    <row r="1905" ht="18" customHeight="1" x14ac:dyDescent="0.25"/>
    <row r="1906" ht="18" customHeight="1" x14ac:dyDescent="0.25"/>
    <row r="1907" ht="18" customHeight="1" x14ac:dyDescent="0.25"/>
    <row r="1908" ht="18" customHeight="1" x14ac:dyDescent="0.25"/>
    <row r="1909" ht="18" customHeight="1" x14ac:dyDescent="0.25"/>
    <row r="1910" ht="18" customHeight="1" x14ac:dyDescent="0.25"/>
    <row r="1911" ht="18" customHeight="1" x14ac:dyDescent="0.25"/>
    <row r="1912" ht="18" customHeight="1" x14ac:dyDescent="0.25"/>
    <row r="1913" ht="18" customHeight="1" x14ac:dyDescent="0.25"/>
    <row r="1914" ht="18" customHeight="1" x14ac:dyDescent="0.25"/>
    <row r="1915" ht="18" customHeight="1" x14ac:dyDescent="0.25"/>
    <row r="1916" ht="18" customHeight="1" x14ac:dyDescent="0.25"/>
    <row r="1917" ht="18" customHeight="1" x14ac:dyDescent="0.25"/>
    <row r="1918" ht="18" customHeight="1" x14ac:dyDescent="0.25"/>
    <row r="1919" ht="18" customHeight="1" x14ac:dyDescent="0.25"/>
    <row r="1920" ht="18" customHeight="1" x14ac:dyDescent="0.25"/>
    <row r="1921" ht="18" customHeight="1" x14ac:dyDescent="0.25"/>
    <row r="1922" ht="18" customHeight="1" x14ac:dyDescent="0.25"/>
    <row r="1923" ht="18" customHeight="1" x14ac:dyDescent="0.25"/>
    <row r="1924" ht="18" customHeight="1" x14ac:dyDescent="0.25"/>
    <row r="1925" ht="18" customHeight="1" x14ac:dyDescent="0.25"/>
    <row r="1926" ht="18" customHeight="1" x14ac:dyDescent="0.25"/>
    <row r="1927" ht="18" customHeight="1" x14ac:dyDescent="0.25"/>
    <row r="1928" ht="18" customHeight="1" x14ac:dyDescent="0.25"/>
    <row r="1929" ht="18" customHeight="1" x14ac:dyDescent="0.25"/>
    <row r="1930" ht="18" customHeight="1" x14ac:dyDescent="0.25"/>
    <row r="1931" ht="18" customHeight="1" x14ac:dyDescent="0.25"/>
    <row r="1932" ht="18" customHeight="1" x14ac:dyDescent="0.25"/>
    <row r="1933" ht="18" customHeight="1" x14ac:dyDescent="0.25"/>
    <row r="1934" ht="18" customHeight="1" x14ac:dyDescent="0.25"/>
    <row r="1935" ht="18" customHeight="1" x14ac:dyDescent="0.25"/>
    <row r="1936" ht="18" customHeight="1" x14ac:dyDescent="0.25"/>
    <row r="1937" ht="18" customHeight="1" x14ac:dyDescent="0.25"/>
    <row r="1938" ht="18" customHeight="1" x14ac:dyDescent="0.25"/>
    <row r="1939" ht="18" customHeight="1" x14ac:dyDescent="0.25"/>
    <row r="1940" ht="18" customHeight="1" x14ac:dyDescent="0.25"/>
    <row r="1941" ht="18" customHeight="1" x14ac:dyDescent="0.25"/>
    <row r="1942" ht="18" customHeight="1" x14ac:dyDescent="0.25"/>
    <row r="1943" ht="18" customHeight="1" x14ac:dyDescent="0.25"/>
    <row r="1944" ht="18" customHeight="1" x14ac:dyDescent="0.25"/>
    <row r="1945" ht="18" customHeight="1" x14ac:dyDescent="0.25"/>
    <row r="1946" ht="18" customHeight="1" x14ac:dyDescent="0.25"/>
    <row r="1947" ht="18" customHeight="1" x14ac:dyDescent="0.25"/>
    <row r="1948" ht="18" customHeight="1" x14ac:dyDescent="0.25"/>
    <row r="1949" ht="18" customHeight="1" x14ac:dyDescent="0.25"/>
    <row r="1950" ht="18" customHeight="1" x14ac:dyDescent="0.25"/>
    <row r="1951" ht="18" customHeight="1" x14ac:dyDescent="0.25"/>
    <row r="1952" ht="18" customHeight="1" x14ac:dyDescent="0.25"/>
    <row r="1953" ht="18" customHeight="1" x14ac:dyDescent="0.25"/>
    <row r="1954" ht="18" customHeight="1" x14ac:dyDescent="0.25"/>
    <row r="1955" ht="18" customHeight="1" x14ac:dyDescent="0.25"/>
    <row r="1956" ht="18" customHeight="1" x14ac:dyDescent="0.25"/>
    <row r="1957" ht="18" customHeight="1" x14ac:dyDescent="0.25"/>
    <row r="1958" ht="18" customHeight="1" x14ac:dyDescent="0.25"/>
    <row r="1959" ht="18" customHeight="1" x14ac:dyDescent="0.25"/>
    <row r="1960" ht="18" customHeight="1" x14ac:dyDescent="0.25"/>
    <row r="1961" ht="18" customHeight="1" x14ac:dyDescent="0.25"/>
    <row r="1962" ht="18" customHeight="1" x14ac:dyDescent="0.25"/>
    <row r="1963" ht="18" customHeight="1" x14ac:dyDescent="0.25"/>
    <row r="1964" ht="18" customHeight="1" x14ac:dyDescent="0.25"/>
    <row r="1965" ht="18" customHeight="1" x14ac:dyDescent="0.25"/>
    <row r="1966" ht="18" customHeight="1" x14ac:dyDescent="0.25"/>
    <row r="1967" ht="18" customHeight="1" x14ac:dyDescent="0.25"/>
    <row r="1968" ht="18" customHeight="1" x14ac:dyDescent="0.25"/>
    <row r="1969" ht="18" customHeight="1" x14ac:dyDescent="0.25"/>
    <row r="1970" ht="18" customHeight="1" x14ac:dyDescent="0.25"/>
    <row r="1971" ht="18" customHeight="1" x14ac:dyDescent="0.25"/>
    <row r="1972" ht="18" customHeight="1" x14ac:dyDescent="0.25"/>
    <row r="1973" ht="18" customHeight="1" x14ac:dyDescent="0.25"/>
    <row r="1974" ht="18" customHeight="1" x14ac:dyDescent="0.25"/>
    <row r="1975" ht="18" customHeight="1" x14ac:dyDescent="0.25"/>
    <row r="1976" ht="18" customHeight="1" x14ac:dyDescent="0.25"/>
    <row r="1977" ht="18" customHeight="1" x14ac:dyDescent="0.25"/>
    <row r="1978" ht="18" customHeight="1" x14ac:dyDescent="0.25"/>
    <row r="1979" ht="18" customHeight="1" x14ac:dyDescent="0.25"/>
    <row r="1980" ht="18" customHeight="1" x14ac:dyDescent="0.25"/>
    <row r="1981" ht="18" customHeight="1" x14ac:dyDescent="0.25"/>
    <row r="1982" ht="18" customHeight="1" x14ac:dyDescent="0.25"/>
    <row r="1983" ht="18" customHeight="1" x14ac:dyDescent="0.25"/>
    <row r="1984" ht="18" customHeight="1" x14ac:dyDescent="0.25"/>
    <row r="1985" ht="18" customHeight="1" x14ac:dyDescent="0.25"/>
    <row r="1986" ht="18" customHeight="1" x14ac:dyDescent="0.25"/>
    <row r="1987" ht="18" customHeight="1" x14ac:dyDescent="0.25"/>
    <row r="1988" ht="18" customHeight="1" x14ac:dyDescent="0.25"/>
    <row r="1989" ht="18" customHeight="1" x14ac:dyDescent="0.25"/>
    <row r="1990" ht="18" customHeight="1" x14ac:dyDescent="0.25"/>
    <row r="1991" ht="18" customHeight="1" x14ac:dyDescent="0.25"/>
    <row r="1992" ht="18" customHeight="1" x14ac:dyDescent="0.25"/>
    <row r="1993" ht="18" customHeight="1" x14ac:dyDescent="0.25"/>
    <row r="1994" ht="18" customHeight="1" x14ac:dyDescent="0.25"/>
    <row r="1995" ht="18" customHeight="1" x14ac:dyDescent="0.25"/>
    <row r="1996" ht="18" customHeight="1" x14ac:dyDescent="0.25"/>
    <row r="1997" ht="18" customHeight="1" x14ac:dyDescent="0.25"/>
    <row r="1998" ht="18" customHeight="1" x14ac:dyDescent="0.25"/>
    <row r="1999" ht="18" customHeight="1" x14ac:dyDescent="0.25"/>
    <row r="2000" ht="18" customHeight="1" x14ac:dyDescent="0.25"/>
    <row r="2001" ht="18" customHeight="1" x14ac:dyDescent="0.25"/>
    <row r="2002" ht="18" customHeight="1" x14ac:dyDescent="0.25"/>
    <row r="2003" ht="18" customHeight="1" x14ac:dyDescent="0.25"/>
    <row r="2004" ht="18" customHeight="1" x14ac:dyDescent="0.25"/>
    <row r="2005" ht="18" customHeight="1" x14ac:dyDescent="0.25"/>
    <row r="2006" ht="18" customHeight="1" x14ac:dyDescent="0.25"/>
    <row r="2007" ht="18" customHeight="1" x14ac:dyDescent="0.25"/>
    <row r="2008" ht="18" customHeight="1" x14ac:dyDescent="0.25"/>
    <row r="2009" ht="18" customHeight="1" x14ac:dyDescent="0.25"/>
    <row r="2010" ht="18" customHeight="1" x14ac:dyDescent="0.25"/>
    <row r="2011" ht="18" customHeight="1" x14ac:dyDescent="0.25"/>
    <row r="2012" ht="18" customHeight="1" x14ac:dyDescent="0.25"/>
    <row r="2013" ht="18" customHeight="1" x14ac:dyDescent="0.25"/>
    <row r="2014" ht="18" customHeight="1" x14ac:dyDescent="0.25"/>
    <row r="2015" ht="18" customHeight="1" x14ac:dyDescent="0.25"/>
    <row r="2016" ht="18" customHeight="1" x14ac:dyDescent="0.25"/>
    <row r="2017" ht="18" customHeight="1" x14ac:dyDescent="0.25"/>
    <row r="2018" ht="18" customHeight="1" x14ac:dyDescent="0.25"/>
    <row r="2019" ht="18" customHeight="1" x14ac:dyDescent="0.25"/>
    <row r="2020" ht="18" customHeight="1" x14ac:dyDescent="0.25"/>
    <row r="2021" ht="18" customHeight="1" x14ac:dyDescent="0.25"/>
    <row r="2022" ht="18" customHeight="1" x14ac:dyDescent="0.25"/>
    <row r="2023" ht="18" customHeight="1" x14ac:dyDescent="0.25"/>
    <row r="2024" ht="18" customHeight="1" x14ac:dyDescent="0.25"/>
    <row r="2025" ht="18" customHeight="1" x14ac:dyDescent="0.25"/>
    <row r="2026" ht="18" customHeight="1" x14ac:dyDescent="0.25"/>
    <row r="2027" ht="18" customHeight="1" x14ac:dyDescent="0.25"/>
    <row r="2028" ht="18" customHeight="1" x14ac:dyDescent="0.25"/>
    <row r="2029" ht="18" customHeight="1" x14ac:dyDescent="0.25"/>
    <row r="2030" ht="18" customHeight="1" x14ac:dyDescent="0.25"/>
    <row r="2031" ht="18" customHeight="1" x14ac:dyDescent="0.25"/>
    <row r="2032" ht="18" customHeight="1" x14ac:dyDescent="0.25"/>
    <row r="2033" ht="18" customHeight="1" x14ac:dyDescent="0.25"/>
    <row r="2034" ht="18" customHeight="1" x14ac:dyDescent="0.25"/>
    <row r="2035" ht="18" customHeight="1" x14ac:dyDescent="0.25"/>
    <row r="2036" ht="18" customHeight="1" x14ac:dyDescent="0.25"/>
    <row r="2037" ht="18" customHeight="1" x14ac:dyDescent="0.25"/>
    <row r="2038" ht="18" customHeight="1" x14ac:dyDescent="0.25"/>
    <row r="2039" ht="18" customHeight="1" x14ac:dyDescent="0.25"/>
    <row r="2040" ht="18" customHeight="1" x14ac:dyDescent="0.25"/>
    <row r="2041" ht="18" customHeight="1" x14ac:dyDescent="0.25"/>
    <row r="2042" ht="18" customHeight="1" x14ac:dyDescent="0.25"/>
    <row r="2043" ht="18" customHeight="1" x14ac:dyDescent="0.25"/>
    <row r="2044" ht="18" customHeight="1" x14ac:dyDescent="0.25"/>
    <row r="2045" ht="18" customHeight="1" x14ac:dyDescent="0.25"/>
    <row r="2046" ht="18" customHeight="1" x14ac:dyDescent="0.25"/>
    <row r="2047" ht="18" customHeight="1" x14ac:dyDescent="0.25"/>
    <row r="2048" ht="18" customHeight="1" x14ac:dyDescent="0.25"/>
    <row r="2049" ht="18" customHeight="1" x14ac:dyDescent="0.25"/>
    <row r="2050" ht="18" customHeight="1" x14ac:dyDescent="0.25"/>
    <row r="2051" ht="18" customHeight="1" x14ac:dyDescent="0.25"/>
    <row r="2052" ht="18" customHeight="1" x14ac:dyDescent="0.25"/>
    <row r="2053" ht="18" customHeight="1" x14ac:dyDescent="0.25"/>
    <row r="2054" ht="18" customHeight="1" x14ac:dyDescent="0.25"/>
    <row r="2055" ht="18" customHeight="1" x14ac:dyDescent="0.25"/>
    <row r="2056" ht="18" customHeight="1" x14ac:dyDescent="0.25"/>
    <row r="2057" ht="18" customHeight="1" x14ac:dyDescent="0.25"/>
    <row r="2058" ht="18" customHeight="1" x14ac:dyDescent="0.25"/>
    <row r="2059" ht="18" customHeight="1" x14ac:dyDescent="0.25"/>
    <row r="2060" ht="18" customHeight="1" x14ac:dyDescent="0.25"/>
    <row r="2061" ht="18" customHeight="1" x14ac:dyDescent="0.25"/>
    <row r="2062" ht="18" customHeight="1" x14ac:dyDescent="0.25"/>
    <row r="2063" ht="18" customHeight="1" x14ac:dyDescent="0.25"/>
    <row r="2064" ht="18" customHeight="1" x14ac:dyDescent="0.25"/>
    <row r="2065" ht="18" customHeight="1" x14ac:dyDescent="0.25"/>
    <row r="2066" ht="18" customHeight="1" x14ac:dyDescent="0.25"/>
    <row r="2067" ht="18" customHeight="1" x14ac:dyDescent="0.25"/>
    <row r="2068" ht="18" customHeight="1" x14ac:dyDescent="0.25"/>
    <row r="2069" ht="18" customHeight="1" x14ac:dyDescent="0.25"/>
    <row r="2070" ht="18" customHeight="1" x14ac:dyDescent="0.25"/>
    <row r="2071" ht="18" customHeight="1" x14ac:dyDescent="0.25"/>
    <row r="2072" ht="18" customHeight="1" x14ac:dyDescent="0.25"/>
    <row r="2073" ht="18" customHeight="1" x14ac:dyDescent="0.25"/>
    <row r="2074" ht="18" customHeight="1" x14ac:dyDescent="0.25"/>
    <row r="2075" ht="18" customHeight="1" x14ac:dyDescent="0.25"/>
    <row r="2076" ht="18" customHeight="1" x14ac:dyDescent="0.25"/>
    <row r="2077" ht="18" customHeight="1" x14ac:dyDescent="0.25"/>
    <row r="2078" ht="18" customHeight="1" x14ac:dyDescent="0.25"/>
    <row r="2079" ht="18" customHeight="1" x14ac:dyDescent="0.25"/>
    <row r="2080" ht="18" customHeight="1" x14ac:dyDescent="0.25"/>
    <row r="2081" ht="18" customHeight="1" x14ac:dyDescent="0.25"/>
    <row r="2082" ht="18" customHeight="1" x14ac:dyDescent="0.25"/>
    <row r="2083" ht="18" customHeight="1" x14ac:dyDescent="0.25"/>
    <row r="2084" ht="18" customHeight="1" x14ac:dyDescent="0.25"/>
    <row r="2085" ht="18" customHeight="1" x14ac:dyDescent="0.25"/>
    <row r="2086" ht="18" customHeight="1" x14ac:dyDescent="0.25"/>
    <row r="2087" ht="18" customHeight="1" x14ac:dyDescent="0.25"/>
    <row r="2088" ht="18" customHeight="1" x14ac:dyDescent="0.25"/>
    <row r="2089" ht="18" customHeight="1" x14ac:dyDescent="0.25"/>
    <row r="2090" ht="18" customHeight="1" x14ac:dyDescent="0.25"/>
    <row r="2091" ht="18" customHeight="1" x14ac:dyDescent="0.25"/>
    <row r="2092" ht="18" customHeight="1" x14ac:dyDescent="0.25"/>
    <row r="2093" ht="18" customHeight="1" x14ac:dyDescent="0.25"/>
    <row r="2094" ht="18" customHeight="1" x14ac:dyDescent="0.25"/>
    <row r="2095" ht="18" customHeight="1" x14ac:dyDescent="0.25"/>
    <row r="2096" ht="18" customHeight="1" x14ac:dyDescent="0.25"/>
    <row r="2097" ht="18" customHeight="1" x14ac:dyDescent="0.25"/>
    <row r="2098" ht="18" customHeight="1" x14ac:dyDescent="0.25"/>
    <row r="2099" ht="18" customHeight="1" x14ac:dyDescent="0.25"/>
    <row r="2100" ht="18" customHeight="1" x14ac:dyDescent="0.25"/>
    <row r="2101" ht="18" customHeight="1" x14ac:dyDescent="0.25"/>
    <row r="2102" ht="18" customHeight="1" x14ac:dyDescent="0.25"/>
    <row r="2103" ht="18" customHeight="1" x14ac:dyDescent="0.25"/>
    <row r="2104" ht="18" customHeight="1" x14ac:dyDescent="0.25"/>
    <row r="2105" ht="18" customHeight="1" x14ac:dyDescent="0.25"/>
    <row r="2106" ht="18" customHeight="1" x14ac:dyDescent="0.25"/>
    <row r="2107" ht="18" customHeight="1" x14ac:dyDescent="0.25"/>
    <row r="2108" ht="18" customHeight="1" x14ac:dyDescent="0.25"/>
    <row r="2109" ht="18" customHeight="1" x14ac:dyDescent="0.25"/>
    <row r="2110" ht="18" customHeight="1" x14ac:dyDescent="0.25"/>
    <row r="2111" ht="18" customHeight="1" x14ac:dyDescent="0.25"/>
    <row r="2112" ht="18" customHeight="1" x14ac:dyDescent="0.25"/>
    <row r="2113" ht="18" customHeight="1" x14ac:dyDescent="0.25"/>
    <row r="2114" ht="18" customHeight="1" x14ac:dyDescent="0.25"/>
    <row r="2115" ht="18" customHeight="1" x14ac:dyDescent="0.25"/>
    <row r="2116" ht="18" customHeight="1" x14ac:dyDescent="0.25"/>
    <row r="2117" ht="18" customHeight="1" x14ac:dyDescent="0.25"/>
    <row r="2118" ht="18" customHeight="1" x14ac:dyDescent="0.25"/>
    <row r="2119" ht="18" customHeight="1" x14ac:dyDescent="0.25"/>
    <row r="2120" ht="18" customHeight="1" x14ac:dyDescent="0.25"/>
    <row r="2121" ht="18" customHeight="1" x14ac:dyDescent="0.25"/>
    <row r="2122" ht="18" customHeight="1" x14ac:dyDescent="0.25"/>
    <row r="2123" ht="18" customHeight="1" x14ac:dyDescent="0.25"/>
    <row r="2124" ht="18" customHeight="1" x14ac:dyDescent="0.25"/>
    <row r="2125" ht="18" customHeight="1" x14ac:dyDescent="0.25"/>
    <row r="2126" ht="18" customHeight="1" x14ac:dyDescent="0.25"/>
    <row r="2127" ht="18" customHeight="1" x14ac:dyDescent="0.25"/>
    <row r="2128" ht="18" customHeight="1" x14ac:dyDescent="0.25"/>
    <row r="2129" ht="18" customHeight="1" x14ac:dyDescent="0.25"/>
    <row r="2130" ht="18" customHeight="1" x14ac:dyDescent="0.25"/>
    <row r="2131" ht="18" customHeight="1" x14ac:dyDescent="0.25"/>
    <row r="2132" ht="18" customHeight="1" x14ac:dyDescent="0.25"/>
    <row r="2133" ht="18" customHeight="1" x14ac:dyDescent="0.25"/>
    <row r="2134" ht="18" customHeight="1" x14ac:dyDescent="0.25"/>
    <row r="2135" ht="18" customHeight="1" x14ac:dyDescent="0.25"/>
    <row r="2136" ht="18" customHeight="1" x14ac:dyDescent="0.25"/>
    <row r="2137" ht="18" customHeight="1" x14ac:dyDescent="0.25"/>
    <row r="2138" ht="18" customHeight="1" x14ac:dyDescent="0.25"/>
    <row r="2139" ht="18" customHeight="1" x14ac:dyDescent="0.25"/>
    <row r="2140" ht="18" customHeight="1" x14ac:dyDescent="0.25"/>
    <row r="2141" ht="18" customHeight="1" x14ac:dyDescent="0.25"/>
    <row r="2142" ht="18" customHeight="1" x14ac:dyDescent="0.25"/>
    <row r="2143" ht="18" customHeight="1" x14ac:dyDescent="0.25"/>
    <row r="2144" ht="18" customHeight="1" x14ac:dyDescent="0.25"/>
    <row r="2145" ht="18" customHeight="1" x14ac:dyDescent="0.25"/>
    <row r="2146" ht="18" customHeight="1" x14ac:dyDescent="0.25"/>
    <row r="2147" ht="18" customHeight="1" x14ac:dyDescent="0.25"/>
    <row r="2148" ht="18" customHeight="1" x14ac:dyDescent="0.25"/>
    <row r="2149" ht="18" customHeight="1" x14ac:dyDescent="0.25"/>
    <row r="2150" ht="18" customHeight="1" x14ac:dyDescent="0.25"/>
    <row r="2151" ht="18" customHeight="1" x14ac:dyDescent="0.25"/>
    <row r="2152" ht="18" customHeight="1" x14ac:dyDescent="0.25"/>
    <row r="2153" ht="18" customHeight="1" x14ac:dyDescent="0.25"/>
    <row r="2154" ht="18" customHeight="1" x14ac:dyDescent="0.25"/>
    <row r="2155" ht="18" customHeight="1" x14ac:dyDescent="0.25"/>
    <row r="2156" ht="18" customHeight="1" x14ac:dyDescent="0.25"/>
    <row r="2157" ht="18" customHeight="1" x14ac:dyDescent="0.25"/>
    <row r="2158" ht="18" customHeight="1" x14ac:dyDescent="0.25"/>
    <row r="2159" ht="18" customHeight="1" x14ac:dyDescent="0.25"/>
    <row r="2160" ht="18" customHeight="1" x14ac:dyDescent="0.25"/>
    <row r="2161" ht="18" customHeight="1" x14ac:dyDescent="0.25"/>
    <row r="2162" ht="18" customHeight="1" x14ac:dyDescent="0.25"/>
    <row r="2163" ht="18" customHeight="1" x14ac:dyDescent="0.25"/>
    <row r="2164" ht="18" customHeight="1" x14ac:dyDescent="0.25"/>
    <row r="2165" ht="18" customHeight="1" x14ac:dyDescent="0.25"/>
    <row r="2166" ht="18" customHeight="1" x14ac:dyDescent="0.25"/>
    <row r="2167" ht="18" customHeight="1" x14ac:dyDescent="0.25"/>
    <row r="2168" ht="18" customHeight="1" x14ac:dyDescent="0.25"/>
    <row r="2169" ht="18" customHeight="1" x14ac:dyDescent="0.25"/>
    <row r="2170" ht="18" customHeight="1" x14ac:dyDescent="0.25"/>
    <row r="2171" ht="18" customHeight="1" x14ac:dyDescent="0.25"/>
    <row r="2172" ht="18" customHeight="1" x14ac:dyDescent="0.25"/>
    <row r="2173" ht="18" customHeight="1" x14ac:dyDescent="0.25"/>
    <row r="2174" ht="18" customHeight="1" x14ac:dyDescent="0.25"/>
    <row r="2175" ht="18" customHeight="1" x14ac:dyDescent="0.25"/>
    <row r="2176" ht="18" customHeight="1" x14ac:dyDescent="0.25"/>
    <row r="2177" ht="18" customHeight="1" x14ac:dyDescent="0.25"/>
    <row r="2178" ht="18" customHeight="1" x14ac:dyDescent="0.25"/>
    <row r="2179" ht="18" customHeight="1" x14ac:dyDescent="0.25"/>
    <row r="2180" ht="18" customHeight="1" x14ac:dyDescent="0.25"/>
    <row r="2181" ht="18" customHeight="1" x14ac:dyDescent="0.25"/>
    <row r="2182" ht="18" customHeight="1" x14ac:dyDescent="0.25"/>
    <row r="2183" ht="18" customHeight="1" x14ac:dyDescent="0.25"/>
    <row r="2184" ht="18" customHeight="1" x14ac:dyDescent="0.25"/>
    <row r="2185" ht="18" customHeight="1" x14ac:dyDescent="0.25"/>
    <row r="2186" ht="18" customHeight="1" x14ac:dyDescent="0.25"/>
    <row r="2187" ht="18" customHeight="1" x14ac:dyDescent="0.25"/>
    <row r="2188" ht="18" customHeight="1" x14ac:dyDescent="0.25"/>
    <row r="2189" ht="18" customHeight="1" x14ac:dyDescent="0.25"/>
    <row r="2190" ht="18" customHeight="1" x14ac:dyDescent="0.25"/>
    <row r="2191" ht="18" customHeight="1" x14ac:dyDescent="0.25"/>
    <row r="2192" ht="18" customHeight="1" x14ac:dyDescent="0.25"/>
    <row r="2193" ht="18" customHeight="1" x14ac:dyDescent="0.25"/>
    <row r="2194" ht="18" customHeight="1" x14ac:dyDescent="0.25"/>
    <row r="2195" ht="18" customHeight="1" x14ac:dyDescent="0.25"/>
    <row r="2196" ht="18" customHeight="1" x14ac:dyDescent="0.25"/>
    <row r="2197" ht="18" customHeight="1" x14ac:dyDescent="0.25"/>
    <row r="2198" ht="18" customHeight="1" x14ac:dyDescent="0.25"/>
    <row r="2199" ht="18" customHeight="1" x14ac:dyDescent="0.25"/>
    <row r="2200" ht="18" customHeight="1" x14ac:dyDescent="0.25"/>
    <row r="2201" ht="18" customHeight="1" x14ac:dyDescent="0.25"/>
    <row r="2202" ht="18" customHeight="1" x14ac:dyDescent="0.25"/>
    <row r="2203" ht="18" customHeight="1" x14ac:dyDescent="0.25"/>
    <row r="2204" ht="18" customHeight="1" x14ac:dyDescent="0.25"/>
    <row r="2205" ht="18" customHeight="1" x14ac:dyDescent="0.25"/>
    <row r="2206" ht="18" customHeight="1" x14ac:dyDescent="0.25"/>
    <row r="2207" ht="18" customHeight="1" x14ac:dyDescent="0.25"/>
    <row r="2208" ht="18" customHeight="1" x14ac:dyDescent="0.25"/>
    <row r="2209" ht="18" customHeight="1" x14ac:dyDescent="0.25"/>
    <row r="2210" ht="18" customHeight="1" x14ac:dyDescent="0.25"/>
    <row r="2211" ht="18" customHeight="1" x14ac:dyDescent="0.25"/>
    <row r="2212" ht="18" customHeight="1" x14ac:dyDescent="0.25"/>
    <row r="2213" ht="18" customHeight="1" x14ac:dyDescent="0.25"/>
    <row r="2214" ht="18" customHeight="1" x14ac:dyDescent="0.25"/>
    <row r="2215" ht="18" customHeight="1" x14ac:dyDescent="0.25"/>
    <row r="2216" ht="18" customHeight="1" x14ac:dyDescent="0.25"/>
    <row r="2217" ht="18" customHeight="1" x14ac:dyDescent="0.25"/>
    <row r="2218" ht="18" customHeight="1" x14ac:dyDescent="0.25"/>
    <row r="2219" ht="18" customHeight="1" x14ac:dyDescent="0.25"/>
    <row r="2220" ht="18" customHeight="1" x14ac:dyDescent="0.25"/>
    <row r="2221" ht="18" customHeight="1" x14ac:dyDescent="0.25"/>
    <row r="2222" ht="18" customHeight="1" x14ac:dyDescent="0.25"/>
    <row r="2223" ht="18" customHeight="1" x14ac:dyDescent="0.25"/>
    <row r="2224" ht="18" customHeight="1" x14ac:dyDescent="0.25"/>
    <row r="2225" ht="18" customHeight="1" x14ac:dyDescent="0.25"/>
    <row r="2226" ht="18" customHeight="1" x14ac:dyDescent="0.25"/>
    <row r="2227" ht="18" customHeight="1" x14ac:dyDescent="0.25"/>
    <row r="2228" ht="18" customHeight="1" x14ac:dyDescent="0.25"/>
    <row r="2229" ht="18" customHeight="1" x14ac:dyDescent="0.25"/>
    <row r="2230" ht="18" customHeight="1" x14ac:dyDescent="0.25"/>
    <row r="2231" ht="18" customHeight="1" x14ac:dyDescent="0.25"/>
    <row r="2232" ht="18" customHeight="1" x14ac:dyDescent="0.25"/>
    <row r="2233" ht="18" customHeight="1" x14ac:dyDescent="0.25"/>
    <row r="2234" ht="18" customHeight="1" x14ac:dyDescent="0.25"/>
    <row r="2235" ht="18" customHeight="1" x14ac:dyDescent="0.25"/>
    <row r="2236" ht="18" customHeight="1" x14ac:dyDescent="0.25"/>
    <row r="2237" ht="18" customHeight="1" x14ac:dyDescent="0.25"/>
    <row r="2238" ht="18" customHeight="1" x14ac:dyDescent="0.25"/>
    <row r="2239" ht="18" customHeight="1" x14ac:dyDescent="0.25"/>
    <row r="2240" ht="18" customHeight="1" x14ac:dyDescent="0.25"/>
    <row r="2241" ht="18" customHeight="1" x14ac:dyDescent="0.25"/>
    <row r="2242" ht="18" customHeight="1" x14ac:dyDescent="0.25"/>
    <row r="2243" ht="18" customHeight="1" x14ac:dyDescent="0.25"/>
    <row r="2244" ht="18" customHeight="1" x14ac:dyDescent="0.25"/>
    <row r="2245" ht="18" customHeight="1" x14ac:dyDescent="0.25"/>
    <row r="2246" ht="18" customHeight="1" x14ac:dyDescent="0.25"/>
    <row r="2247" ht="18" customHeight="1" x14ac:dyDescent="0.25"/>
    <row r="2248" ht="18" customHeight="1" x14ac:dyDescent="0.25"/>
    <row r="2249" ht="18" customHeight="1" x14ac:dyDescent="0.25"/>
    <row r="2250" ht="18" customHeight="1" x14ac:dyDescent="0.25"/>
    <row r="2251" ht="18" customHeight="1" x14ac:dyDescent="0.25"/>
    <row r="2252" ht="18" customHeight="1" x14ac:dyDescent="0.25"/>
    <row r="2253" ht="18" customHeight="1" x14ac:dyDescent="0.25"/>
    <row r="2254" ht="18" customHeight="1" x14ac:dyDescent="0.25"/>
    <row r="2255" ht="18" customHeight="1" x14ac:dyDescent="0.25"/>
    <row r="2256" ht="18" customHeight="1" x14ac:dyDescent="0.25"/>
    <row r="2257" ht="18" customHeight="1" x14ac:dyDescent="0.25"/>
    <row r="2258" ht="18" customHeight="1" x14ac:dyDescent="0.25"/>
    <row r="2259" ht="18" customHeight="1" x14ac:dyDescent="0.25"/>
    <row r="2260" ht="18" customHeight="1" x14ac:dyDescent="0.25"/>
    <row r="2261" ht="18" customHeight="1" x14ac:dyDescent="0.25"/>
    <row r="2262" ht="18" customHeight="1" x14ac:dyDescent="0.25"/>
    <row r="2263" ht="18" customHeight="1" x14ac:dyDescent="0.25"/>
    <row r="2264" ht="18" customHeight="1" x14ac:dyDescent="0.25"/>
    <row r="2265" ht="18" customHeight="1" x14ac:dyDescent="0.25"/>
    <row r="2266" ht="18" customHeight="1" x14ac:dyDescent="0.25"/>
    <row r="2267" ht="18" customHeight="1" x14ac:dyDescent="0.25"/>
    <row r="2268" ht="18" customHeight="1" x14ac:dyDescent="0.25"/>
    <row r="2269" ht="18" customHeight="1" x14ac:dyDescent="0.25"/>
    <row r="2270" ht="18" customHeight="1" x14ac:dyDescent="0.25"/>
    <row r="2271" ht="18" customHeight="1" x14ac:dyDescent="0.25"/>
    <row r="2272" ht="18" customHeight="1" x14ac:dyDescent="0.25"/>
    <row r="2273" ht="18" customHeight="1" x14ac:dyDescent="0.25"/>
    <row r="2274" ht="18" customHeight="1" x14ac:dyDescent="0.25"/>
    <row r="2275" ht="18" customHeight="1" x14ac:dyDescent="0.25"/>
    <row r="2276" ht="18" customHeight="1" x14ac:dyDescent="0.25"/>
    <row r="2277" ht="18" customHeight="1" x14ac:dyDescent="0.25"/>
    <row r="2278" ht="18" customHeight="1" x14ac:dyDescent="0.25"/>
    <row r="2279" ht="18" customHeight="1" x14ac:dyDescent="0.25"/>
    <row r="2280" ht="18" customHeight="1" x14ac:dyDescent="0.25"/>
    <row r="2281" ht="18" customHeight="1" x14ac:dyDescent="0.25"/>
    <row r="2282" ht="18" customHeight="1" x14ac:dyDescent="0.25"/>
    <row r="2283" ht="18" customHeight="1" x14ac:dyDescent="0.25"/>
    <row r="2284" ht="18" customHeight="1" x14ac:dyDescent="0.25"/>
    <row r="2285" ht="18" customHeight="1" x14ac:dyDescent="0.25"/>
    <row r="2286" ht="18" customHeight="1" x14ac:dyDescent="0.25"/>
    <row r="2287" ht="18" customHeight="1" x14ac:dyDescent="0.25"/>
    <row r="2288" ht="18" customHeight="1" x14ac:dyDescent="0.25"/>
    <row r="2289" ht="18" customHeight="1" x14ac:dyDescent="0.25"/>
    <row r="2290" ht="18" customHeight="1" x14ac:dyDescent="0.25"/>
    <row r="2291" ht="18" customHeight="1" x14ac:dyDescent="0.25"/>
    <row r="2292" ht="18" customHeight="1" x14ac:dyDescent="0.25"/>
    <row r="2293" ht="18" customHeight="1" x14ac:dyDescent="0.25"/>
    <row r="2294" ht="18" customHeight="1" x14ac:dyDescent="0.25"/>
    <row r="2295" ht="18" customHeight="1" x14ac:dyDescent="0.25"/>
    <row r="2296" ht="18" customHeight="1" x14ac:dyDescent="0.25"/>
    <row r="2297" ht="18" customHeight="1" x14ac:dyDescent="0.25"/>
    <row r="2298" ht="18" customHeight="1" x14ac:dyDescent="0.25"/>
    <row r="2299" ht="18" customHeight="1" x14ac:dyDescent="0.25"/>
    <row r="2300" ht="18" customHeight="1" x14ac:dyDescent="0.25"/>
    <row r="2301" ht="18" customHeight="1" x14ac:dyDescent="0.25"/>
    <row r="2302" ht="18" customHeight="1" x14ac:dyDescent="0.25"/>
    <row r="2303" ht="18" customHeight="1" x14ac:dyDescent="0.25"/>
    <row r="2304" ht="18" customHeight="1" x14ac:dyDescent="0.25"/>
    <row r="2305" ht="18" customHeight="1" x14ac:dyDescent="0.25"/>
    <row r="2306" ht="18" customHeight="1" x14ac:dyDescent="0.25"/>
    <row r="2307" ht="18" customHeight="1" x14ac:dyDescent="0.25"/>
    <row r="2308" ht="18" customHeight="1" x14ac:dyDescent="0.25"/>
    <row r="2309" ht="18" customHeight="1" x14ac:dyDescent="0.25"/>
    <row r="2310" ht="18" customHeight="1" x14ac:dyDescent="0.25"/>
    <row r="2311" ht="18" customHeight="1" x14ac:dyDescent="0.25"/>
    <row r="2312" ht="18" customHeight="1" x14ac:dyDescent="0.25"/>
    <row r="2313" ht="18" customHeight="1" x14ac:dyDescent="0.25"/>
    <row r="2314" ht="18" customHeight="1" x14ac:dyDescent="0.25"/>
    <row r="2315" ht="18" customHeight="1" x14ac:dyDescent="0.25"/>
    <row r="2316" ht="18" customHeight="1" x14ac:dyDescent="0.25"/>
    <row r="2317" ht="18" customHeight="1" x14ac:dyDescent="0.25"/>
    <row r="2318" ht="18" customHeight="1" x14ac:dyDescent="0.25"/>
    <row r="2319" ht="18" customHeight="1" x14ac:dyDescent="0.25"/>
    <row r="2320" ht="18" customHeight="1" x14ac:dyDescent="0.25"/>
    <row r="2321" ht="18" customHeight="1" x14ac:dyDescent="0.25"/>
    <row r="2322" ht="18" customHeight="1" x14ac:dyDescent="0.25"/>
    <row r="2323" ht="18" customHeight="1" x14ac:dyDescent="0.25"/>
    <row r="2324" ht="18" customHeight="1" x14ac:dyDescent="0.25"/>
    <row r="2325" ht="18" customHeight="1" x14ac:dyDescent="0.25"/>
    <row r="2326" ht="18" customHeight="1" x14ac:dyDescent="0.25"/>
    <row r="2327" ht="18" customHeight="1" x14ac:dyDescent="0.25"/>
    <row r="2328" ht="18" customHeight="1" x14ac:dyDescent="0.25"/>
    <row r="2329" ht="18" customHeight="1" x14ac:dyDescent="0.25"/>
    <row r="2330" ht="18" customHeight="1" x14ac:dyDescent="0.25"/>
    <row r="2331" ht="18" customHeight="1" x14ac:dyDescent="0.25"/>
    <row r="2332" ht="18" customHeight="1" x14ac:dyDescent="0.25"/>
    <row r="2333" ht="18" customHeight="1" x14ac:dyDescent="0.25"/>
    <row r="2334" ht="18" customHeight="1" x14ac:dyDescent="0.25"/>
    <row r="2335" ht="18" customHeight="1" x14ac:dyDescent="0.25"/>
    <row r="2336" ht="18" customHeight="1" x14ac:dyDescent="0.25"/>
    <row r="2337" ht="18" customHeight="1" x14ac:dyDescent="0.25"/>
    <row r="2338" ht="18" customHeight="1" x14ac:dyDescent="0.25"/>
    <row r="2339" ht="18" customHeight="1" x14ac:dyDescent="0.25"/>
    <row r="2340" ht="18" customHeight="1" x14ac:dyDescent="0.25"/>
    <row r="2341" ht="18" customHeight="1" x14ac:dyDescent="0.25"/>
    <row r="2342" ht="18" customHeight="1" x14ac:dyDescent="0.25"/>
    <row r="2343" ht="18" customHeight="1" x14ac:dyDescent="0.25"/>
    <row r="2344" ht="18" customHeight="1" x14ac:dyDescent="0.25"/>
    <row r="2345" ht="18" customHeight="1" x14ac:dyDescent="0.25"/>
    <row r="2346" ht="18" customHeight="1" x14ac:dyDescent="0.25"/>
    <row r="2347" ht="18" customHeight="1" x14ac:dyDescent="0.25"/>
    <row r="2348" ht="18" customHeight="1" x14ac:dyDescent="0.25"/>
    <row r="2349" ht="18" customHeight="1" x14ac:dyDescent="0.25"/>
    <row r="2350" ht="18" customHeight="1" x14ac:dyDescent="0.25"/>
    <row r="2351" ht="18" customHeight="1" x14ac:dyDescent="0.25"/>
    <row r="2352" ht="18" customHeight="1" x14ac:dyDescent="0.25"/>
    <row r="2353" ht="18" customHeight="1" x14ac:dyDescent="0.25"/>
    <row r="2354" ht="18" customHeight="1" x14ac:dyDescent="0.25"/>
    <row r="2355" ht="18" customHeight="1" x14ac:dyDescent="0.25"/>
    <row r="2356" ht="18" customHeight="1" x14ac:dyDescent="0.25"/>
    <row r="2357" ht="18" customHeight="1" x14ac:dyDescent="0.25"/>
    <row r="2358" ht="18" customHeight="1" x14ac:dyDescent="0.25"/>
    <row r="2359" ht="18" customHeight="1" x14ac:dyDescent="0.25"/>
    <row r="2360" ht="18" customHeight="1" x14ac:dyDescent="0.25"/>
    <row r="2361" ht="18" customHeight="1" x14ac:dyDescent="0.25"/>
    <row r="2362" ht="18" customHeight="1" x14ac:dyDescent="0.25"/>
    <row r="2363" ht="18" customHeight="1" x14ac:dyDescent="0.25"/>
    <row r="2364" ht="18" customHeight="1" x14ac:dyDescent="0.25"/>
    <row r="2365" ht="18" customHeight="1" x14ac:dyDescent="0.25"/>
    <row r="2366" ht="18" customHeight="1" x14ac:dyDescent="0.25"/>
    <row r="2367" ht="18" customHeight="1" x14ac:dyDescent="0.25"/>
    <row r="2368" ht="18" customHeight="1" x14ac:dyDescent="0.25"/>
    <row r="2369" ht="18" customHeight="1" x14ac:dyDescent="0.25"/>
    <row r="2370" ht="18" customHeight="1" x14ac:dyDescent="0.25"/>
    <row r="2371" ht="18" customHeight="1" x14ac:dyDescent="0.25"/>
    <row r="2372" ht="18" customHeight="1" x14ac:dyDescent="0.25"/>
    <row r="2373" ht="18" customHeight="1" x14ac:dyDescent="0.25"/>
    <row r="2374" ht="18" customHeight="1" x14ac:dyDescent="0.25"/>
    <row r="2375" ht="18" customHeight="1" x14ac:dyDescent="0.25"/>
    <row r="2376" ht="18" customHeight="1" x14ac:dyDescent="0.25"/>
    <row r="2377" ht="18" customHeight="1" x14ac:dyDescent="0.25"/>
    <row r="2378" ht="18" customHeight="1" x14ac:dyDescent="0.25"/>
    <row r="2379" ht="18" customHeight="1" x14ac:dyDescent="0.25"/>
    <row r="2380" ht="18" customHeight="1" x14ac:dyDescent="0.25"/>
    <row r="2381" ht="18" customHeight="1" x14ac:dyDescent="0.25"/>
    <row r="2382" ht="18" customHeight="1" x14ac:dyDescent="0.25"/>
    <row r="2383" ht="18" customHeight="1" x14ac:dyDescent="0.25"/>
    <row r="2384" ht="18" customHeight="1" x14ac:dyDescent="0.25"/>
    <row r="2385" ht="18" customHeight="1" x14ac:dyDescent="0.25"/>
    <row r="2386" ht="18" customHeight="1" x14ac:dyDescent="0.25"/>
    <row r="2387" ht="18" customHeight="1" x14ac:dyDescent="0.25"/>
    <row r="2388" ht="18" customHeight="1" x14ac:dyDescent="0.25"/>
    <row r="2389" ht="18" customHeight="1" x14ac:dyDescent="0.25"/>
    <row r="2390" ht="18" customHeight="1" x14ac:dyDescent="0.25"/>
    <row r="2391" ht="18" customHeight="1" x14ac:dyDescent="0.25"/>
    <row r="2392" ht="18" customHeight="1" x14ac:dyDescent="0.25"/>
    <row r="2393" ht="18" customHeight="1" x14ac:dyDescent="0.25"/>
    <row r="2394" ht="18" customHeight="1" x14ac:dyDescent="0.25"/>
    <row r="2395" ht="18" customHeight="1" x14ac:dyDescent="0.25"/>
    <row r="2396" ht="18" customHeight="1" x14ac:dyDescent="0.25"/>
    <row r="2397" ht="18" customHeight="1" x14ac:dyDescent="0.25"/>
    <row r="2398" ht="18" customHeight="1" x14ac:dyDescent="0.25"/>
    <row r="2399" ht="18" customHeight="1" x14ac:dyDescent="0.25"/>
    <row r="2400" ht="18" customHeight="1" x14ac:dyDescent="0.25"/>
    <row r="2401" ht="18" customHeight="1" x14ac:dyDescent="0.25"/>
    <row r="2402" ht="18" customHeight="1" x14ac:dyDescent="0.25"/>
    <row r="2403" ht="18" customHeight="1" x14ac:dyDescent="0.25"/>
    <row r="2404" ht="18" customHeight="1" x14ac:dyDescent="0.25"/>
    <row r="2405" ht="18" customHeight="1" x14ac:dyDescent="0.25"/>
    <row r="2406" ht="18" customHeight="1" x14ac:dyDescent="0.25"/>
    <row r="2407" ht="18" customHeight="1" x14ac:dyDescent="0.25"/>
    <row r="2408" ht="18" customHeight="1" x14ac:dyDescent="0.25"/>
    <row r="2409" ht="18" customHeight="1" x14ac:dyDescent="0.25"/>
    <row r="2410" ht="18" customHeight="1" x14ac:dyDescent="0.25"/>
    <row r="2411" ht="18" customHeight="1" x14ac:dyDescent="0.25"/>
    <row r="2412" ht="18" customHeight="1" x14ac:dyDescent="0.25"/>
    <row r="2413" ht="18" customHeight="1" x14ac:dyDescent="0.25"/>
    <row r="2414" ht="18" customHeight="1" x14ac:dyDescent="0.25"/>
    <row r="2415" ht="18" customHeight="1" x14ac:dyDescent="0.25"/>
    <row r="2416" ht="18" customHeight="1" x14ac:dyDescent="0.25"/>
    <row r="2417" ht="18" customHeight="1" x14ac:dyDescent="0.25"/>
    <row r="2418" ht="18" customHeight="1" x14ac:dyDescent="0.25"/>
    <row r="2419" ht="18" customHeight="1" x14ac:dyDescent="0.25"/>
    <row r="2420" ht="18" customHeight="1" x14ac:dyDescent="0.25"/>
    <row r="2421" ht="18" customHeight="1" x14ac:dyDescent="0.25"/>
    <row r="2422" ht="18" customHeight="1" x14ac:dyDescent="0.25"/>
    <row r="2423" ht="18" customHeight="1" x14ac:dyDescent="0.25"/>
    <row r="2424" ht="18" customHeight="1" x14ac:dyDescent="0.25"/>
    <row r="2425" ht="18" customHeight="1" x14ac:dyDescent="0.25"/>
    <row r="2426" ht="18" customHeight="1" x14ac:dyDescent="0.25"/>
    <row r="2427" ht="18" customHeight="1" x14ac:dyDescent="0.25"/>
    <row r="2428" ht="18" customHeight="1" x14ac:dyDescent="0.25"/>
    <row r="2429" ht="18" customHeight="1" x14ac:dyDescent="0.25"/>
    <row r="2430" ht="18" customHeight="1" x14ac:dyDescent="0.25"/>
    <row r="2431" ht="18" customHeight="1" x14ac:dyDescent="0.25"/>
    <row r="2432" ht="18" customHeight="1" x14ac:dyDescent="0.25"/>
    <row r="2433" ht="18" customHeight="1" x14ac:dyDescent="0.25"/>
    <row r="2434" ht="18" customHeight="1" x14ac:dyDescent="0.25"/>
    <row r="2435" ht="18" customHeight="1" x14ac:dyDescent="0.25"/>
    <row r="2436" ht="18" customHeight="1" x14ac:dyDescent="0.25"/>
    <row r="2437" ht="18" customHeight="1" x14ac:dyDescent="0.25"/>
    <row r="2438" ht="18" customHeight="1" x14ac:dyDescent="0.25"/>
    <row r="2439" ht="18" customHeight="1" x14ac:dyDescent="0.25"/>
    <row r="2440" ht="18" customHeight="1" x14ac:dyDescent="0.25"/>
    <row r="2441" ht="18" customHeight="1" x14ac:dyDescent="0.25"/>
    <row r="2442" ht="18" customHeight="1" x14ac:dyDescent="0.25"/>
    <row r="2443" ht="18" customHeight="1" x14ac:dyDescent="0.25"/>
    <row r="2444" ht="18" customHeight="1" x14ac:dyDescent="0.25"/>
    <row r="2445" ht="18" customHeight="1" x14ac:dyDescent="0.25"/>
    <row r="2446" ht="18" customHeight="1" x14ac:dyDescent="0.25"/>
    <row r="2447" ht="18" customHeight="1" x14ac:dyDescent="0.25"/>
    <row r="2448" ht="18" customHeight="1" x14ac:dyDescent="0.25"/>
    <row r="2449" ht="18" customHeight="1" x14ac:dyDescent="0.25"/>
    <row r="2450" ht="18" customHeight="1" x14ac:dyDescent="0.25"/>
    <row r="2451" ht="18" customHeight="1" x14ac:dyDescent="0.25"/>
    <row r="2452" ht="18" customHeight="1" x14ac:dyDescent="0.25"/>
    <row r="2453" ht="18" customHeight="1" x14ac:dyDescent="0.25"/>
    <row r="2454" ht="18" customHeight="1" x14ac:dyDescent="0.25"/>
    <row r="2455" ht="18" customHeight="1" x14ac:dyDescent="0.25"/>
    <row r="2456" ht="18" customHeight="1" x14ac:dyDescent="0.25"/>
    <row r="2457" ht="18" customHeight="1" x14ac:dyDescent="0.25"/>
    <row r="2458" ht="18" customHeight="1" x14ac:dyDescent="0.25"/>
    <row r="2459" ht="18" customHeight="1" x14ac:dyDescent="0.25"/>
    <row r="2460" ht="18" customHeight="1" x14ac:dyDescent="0.25"/>
    <row r="2461" ht="18" customHeight="1" x14ac:dyDescent="0.25"/>
    <row r="2462" ht="18" customHeight="1" x14ac:dyDescent="0.25"/>
    <row r="2463" ht="18" customHeight="1" x14ac:dyDescent="0.25"/>
    <row r="2464" ht="18" customHeight="1" x14ac:dyDescent="0.25"/>
    <row r="2465" ht="18" customHeight="1" x14ac:dyDescent="0.25"/>
    <row r="2466" ht="18" customHeight="1" x14ac:dyDescent="0.25"/>
    <row r="2467" ht="18" customHeight="1" x14ac:dyDescent="0.25"/>
    <row r="2468" ht="18" customHeight="1" x14ac:dyDescent="0.25"/>
    <row r="2469" ht="18" customHeight="1" x14ac:dyDescent="0.25"/>
    <row r="2470" ht="18" customHeight="1" x14ac:dyDescent="0.25"/>
    <row r="2471" ht="18" customHeight="1" x14ac:dyDescent="0.25"/>
    <row r="2472" ht="18" customHeight="1" x14ac:dyDescent="0.25"/>
    <row r="2473" ht="18" customHeight="1" x14ac:dyDescent="0.25"/>
    <row r="2474" ht="18" customHeight="1" x14ac:dyDescent="0.25"/>
    <row r="2475" ht="18" customHeight="1" x14ac:dyDescent="0.25"/>
    <row r="2476" ht="18" customHeight="1" x14ac:dyDescent="0.25"/>
    <row r="2477" ht="18" customHeight="1" x14ac:dyDescent="0.25"/>
    <row r="2478" ht="18" customHeight="1" x14ac:dyDescent="0.25"/>
    <row r="2479" ht="18" customHeight="1" x14ac:dyDescent="0.25"/>
    <row r="2480" ht="18" customHeight="1" x14ac:dyDescent="0.25"/>
    <row r="2481" ht="18" customHeight="1" x14ac:dyDescent="0.25"/>
    <row r="2482" ht="18" customHeight="1" x14ac:dyDescent="0.25"/>
    <row r="2483" ht="18" customHeight="1" x14ac:dyDescent="0.25"/>
    <row r="2484" ht="18" customHeight="1" x14ac:dyDescent="0.25"/>
    <row r="2485" ht="18" customHeight="1" x14ac:dyDescent="0.25"/>
    <row r="2486" ht="18" customHeight="1" x14ac:dyDescent="0.25"/>
    <row r="2487" ht="18" customHeight="1" x14ac:dyDescent="0.25"/>
    <row r="2488" ht="18" customHeight="1" x14ac:dyDescent="0.25"/>
    <row r="2489" ht="18" customHeight="1" x14ac:dyDescent="0.25"/>
    <row r="2490" ht="18" customHeight="1" x14ac:dyDescent="0.25"/>
    <row r="2491" ht="18" customHeight="1" x14ac:dyDescent="0.25"/>
    <row r="2492" ht="18" customHeight="1" x14ac:dyDescent="0.25"/>
    <row r="2493" ht="18" customHeight="1" x14ac:dyDescent="0.25"/>
    <row r="2494" ht="18" customHeight="1" x14ac:dyDescent="0.25"/>
    <row r="2495" ht="18" customHeight="1" x14ac:dyDescent="0.25"/>
    <row r="2496" ht="18" customHeight="1" x14ac:dyDescent="0.25"/>
    <row r="2497" ht="18" customHeight="1" x14ac:dyDescent="0.25"/>
    <row r="2498" ht="18" customHeight="1" x14ac:dyDescent="0.25"/>
    <row r="2499" ht="18" customHeight="1" x14ac:dyDescent="0.25"/>
    <row r="2500" ht="18" customHeight="1" x14ac:dyDescent="0.25"/>
    <row r="2501" ht="18" customHeight="1" x14ac:dyDescent="0.25"/>
    <row r="2502" ht="18" customHeight="1" x14ac:dyDescent="0.25"/>
    <row r="2503" ht="18" customHeight="1" x14ac:dyDescent="0.25"/>
    <row r="2504" ht="18" customHeight="1" x14ac:dyDescent="0.25"/>
    <row r="2505" ht="18" customHeight="1" x14ac:dyDescent="0.25"/>
    <row r="2506" ht="18" customHeight="1" x14ac:dyDescent="0.25"/>
    <row r="2507" ht="18" customHeight="1" x14ac:dyDescent="0.25"/>
    <row r="2508" ht="18" customHeight="1" x14ac:dyDescent="0.25"/>
    <row r="2509" ht="18" customHeight="1" x14ac:dyDescent="0.25"/>
    <row r="2510" ht="18" customHeight="1" x14ac:dyDescent="0.25"/>
    <row r="2511" ht="18" customHeight="1" x14ac:dyDescent="0.25"/>
    <row r="2512" ht="18" customHeight="1" x14ac:dyDescent="0.25"/>
    <row r="2513" ht="18" customHeight="1" x14ac:dyDescent="0.25"/>
    <row r="2514" ht="18" customHeight="1" x14ac:dyDescent="0.25"/>
    <row r="2515" ht="18" customHeight="1" x14ac:dyDescent="0.25"/>
    <row r="2516" ht="18" customHeight="1" x14ac:dyDescent="0.25"/>
    <row r="2517" ht="18" customHeight="1" x14ac:dyDescent="0.25"/>
    <row r="2518" ht="18" customHeight="1" x14ac:dyDescent="0.25"/>
    <row r="2519" ht="18" customHeight="1" x14ac:dyDescent="0.25"/>
    <row r="2520" ht="18" customHeight="1" x14ac:dyDescent="0.25"/>
    <row r="2521" ht="18" customHeight="1" x14ac:dyDescent="0.25"/>
    <row r="2522" ht="18" customHeight="1" x14ac:dyDescent="0.25"/>
    <row r="2523" ht="18" customHeight="1" x14ac:dyDescent="0.25"/>
    <row r="2524" ht="18" customHeight="1" x14ac:dyDescent="0.25"/>
    <row r="2525" ht="18" customHeight="1" x14ac:dyDescent="0.25"/>
    <row r="2526" ht="18" customHeight="1" x14ac:dyDescent="0.25"/>
    <row r="2527" ht="18" customHeight="1" x14ac:dyDescent="0.25"/>
    <row r="2528" ht="18" customHeight="1" x14ac:dyDescent="0.25"/>
    <row r="2529" ht="18" customHeight="1" x14ac:dyDescent="0.25"/>
    <row r="2530" ht="18" customHeight="1" x14ac:dyDescent="0.25"/>
    <row r="2531" ht="18" customHeight="1" x14ac:dyDescent="0.25"/>
    <row r="2532" ht="18" customHeight="1" x14ac:dyDescent="0.25"/>
    <row r="2533" ht="18" customHeight="1" x14ac:dyDescent="0.25"/>
    <row r="2534" ht="18" customHeight="1" x14ac:dyDescent="0.25"/>
    <row r="2535" ht="18" customHeight="1" x14ac:dyDescent="0.25"/>
    <row r="2536" ht="18" customHeight="1" x14ac:dyDescent="0.25"/>
    <row r="2537" ht="18" customHeight="1" x14ac:dyDescent="0.25"/>
    <row r="2538" ht="18" customHeight="1" x14ac:dyDescent="0.25"/>
    <row r="2539" ht="18" customHeight="1" x14ac:dyDescent="0.25"/>
    <row r="2540" ht="18" customHeight="1" x14ac:dyDescent="0.25"/>
    <row r="2541" ht="18" customHeight="1" x14ac:dyDescent="0.25"/>
    <row r="2542" ht="18" customHeight="1" x14ac:dyDescent="0.25"/>
    <row r="2543" ht="18" customHeight="1" x14ac:dyDescent="0.25"/>
    <row r="2544" ht="18" customHeight="1" x14ac:dyDescent="0.25"/>
    <row r="2545" ht="18" customHeight="1" x14ac:dyDescent="0.25"/>
    <row r="2546" ht="18" customHeight="1" x14ac:dyDescent="0.25"/>
    <row r="2547" ht="18" customHeight="1" x14ac:dyDescent="0.25"/>
    <row r="2548" ht="18" customHeight="1" x14ac:dyDescent="0.25"/>
    <row r="2549" ht="18" customHeight="1" x14ac:dyDescent="0.25"/>
    <row r="2550" ht="18" customHeight="1" x14ac:dyDescent="0.25"/>
    <row r="2551" ht="18" customHeight="1" x14ac:dyDescent="0.25"/>
    <row r="2552" ht="18" customHeight="1" x14ac:dyDescent="0.25"/>
    <row r="2553" ht="18" customHeight="1" x14ac:dyDescent="0.25"/>
    <row r="2554" ht="18" customHeight="1" x14ac:dyDescent="0.25"/>
    <row r="2555" ht="18" customHeight="1" x14ac:dyDescent="0.25"/>
    <row r="2556" ht="18" customHeight="1" x14ac:dyDescent="0.25"/>
    <row r="2557" ht="18" customHeight="1" x14ac:dyDescent="0.25"/>
    <row r="2558" ht="18" customHeight="1" x14ac:dyDescent="0.25"/>
    <row r="2559" ht="18" customHeight="1" x14ac:dyDescent="0.25"/>
    <row r="2560" ht="18" customHeight="1" x14ac:dyDescent="0.25"/>
    <row r="2561" ht="18" customHeight="1" x14ac:dyDescent="0.25"/>
    <row r="2562" ht="18" customHeight="1" x14ac:dyDescent="0.25"/>
    <row r="2563" ht="18" customHeight="1" x14ac:dyDescent="0.25"/>
    <row r="2564" ht="18" customHeight="1" x14ac:dyDescent="0.25"/>
    <row r="2565" ht="18" customHeight="1" x14ac:dyDescent="0.25"/>
    <row r="2566" ht="18" customHeight="1" x14ac:dyDescent="0.25"/>
    <row r="2567" ht="18" customHeight="1" x14ac:dyDescent="0.25"/>
    <row r="2568" ht="18" customHeight="1" x14ac:dyDescent="0.25"/>
    <row r="2569" ht="18" customHeight="1" x14ac:dyDescent="0.25"/>
    <row r="2570" ht="18" customHeight="1" x14ac:dyDescent="0.25"/>
    <row r="2571" ht="18" customHeight="1" x14ac:dyDescent="0.25"/>
    <row r="2572" ht="18" customHeight="1" x14ac:dyDescent="0.25"/>
    <row r="2573" ht="18" customHeight="1" x14ac:dyDescent="0.25"/>
    <row r="2574" ht="18" customHeight="1" x14ac:dyDescent="0.25"/>
    <row r="2575" ht="18" customHeight="1" x14ac:dyDescent="0.25"/>
    <row r="2576" ht="18" customHeight="1" x14ac:dyDescent="0.25"/>
    <row r="2577" ht="18" customHeight="1" x14ac:dyDescent="0.25"/>
    <row r="2578" ht="18" customHeight="1" x14ac:dyDescent="0.25"/>
    <row r="2579" ht="18" customHeight="1" x14ac:dyDescent="0.25"/>
    <row r="2580" ht="18" customHeight="1" x14ac:dyDescent="0.25"/>
    <row r="2581" ht="18" customHeight="1" x14ac:dyDescent="0.25"/>
    <row r="2582" ht="18" customHeight="1" x14ac:dyDescent="0.25"/>
    <row r="2583" ht="18" customHeight="1" x14ac:dyDescent="0.25"/>
    <row r="2584" ht="18" customHeight="1" x14ac:dyDescent="0.25"/>
    <row r="2585" ht="18" customHeight="1" x14ac:dyDescent="0.25"/>
    <row r="2586" ht="18" customHeight="1" x14ac:dyDescent="0.25"/>
    <row r="2587" ht="18" customHeight="1" x14ac:dyDescent="0.25"/>
    <row r="2588" ht="18" customHeight="1" x14ac:dyDescent="0.25"/>
    <row r="2589" ht="18" customHeight="1" x14ac:dyDescent="0.25"/>
    <row r="2590" ht="18" customHeight="1" x14ac:dyDescent="0.25"/>
    <row r="2591" ht="18" customHeight="1" x14ac:dyDescent="0.25"/>
    <row r="2592" ht="18" customHeight="1" x14ac:dyDescent="0.25"/>
    <row r="2593" ht="18" customHeight="1" x14ac:dyDescent="0.25"/>
    <row r="2594" ht="18" customHeight="1" x14ac:dyDescent="0.25"/>
    <row r="2595" ht="18" customHeight="1" x14ac:dyDescent="0.25"/>
    <row r="2596" ht="18" customHeight="1" x14ac:dyDescent="0.25"/>
    <row r="2597" ht="18" customHeight="1" x14ac:dyDescent="0.25"/>
    <row r="2598" ht="18" customHeight="1" x14ac:dyDescent="0.25"/>
    <row r="2599" ht="18" customHeight="1" x14ac:dyDescent="0.25"/>
    <row r="2600" ht="18" customHeight="1" x14ac:dyDescent="0.25"/>
    <row r="2601" ht="18" customHeight="1" x14ac:dyDescent="0.25"/>
    <row r="2602" ht="18" customHeight="1" x14ac:dyDescent="0.25"/>
    <row r="2603" ht="18" customHeight="1" x14ac:dyDescent="0.25"/>
    <row r="2604" ht="18" customHeight="1" x14ac:dyDescent="0.25"/>
    <row r="2605" ht="18" customHeight="1" x14ac:dyDescent="0.25"/>
    <row r="2606" ht="18" customHeight="1" x14ac:dyDescent="0.25"/>
    <row r="2607" ht="18" customHeight="1" x14ac:dyDescent="0.25"/>
    <row r="2608" ht="18" customHeight="1" x14ac:dyDescent="0.25"/>
    <row r="2609" ht="18" customHeight="1" x14ac:dyDescent="0.25"/>
    <row r="2610" ht="18" customHeight="1" x14ac:dyDescent="0.25"/>
    <row r="2611" ht="18" customHeight="1" x14ac:dyDescent="0.25"/>
    <row r="2612" ht="18" customHeight="1" x14ac:dyDescent="0.25"/>
    <row r="2613" ht="18" customHeight="1" x14ac:dyDescent="0.25"/>
    <row r="2614" ht="18" customHeight="1" x14ac:dyDescent="0.25"/>
    <row r="2615" ht="18" customHeight="1" x14ac:dyDescent="0.25"/>
    <row r="2616" ht="18" customHeight="1" x14ac:dyDescent="0.25"/>
    <row r="2617" ht="18" customHeight="1" x14ac:dyDescent="0.25"/>
    <row r="2618" ht="18" customHeight="1" x14ac:dyDescent="0.25"/>
    <row r="2619" ht="18" customHeight="1" x14ac:dyDescent="0.25"/>
    <row r="2620" ht="18" customHeight="1" x14ac:dyDescent="0.25"/>
    <row r="2621" ht="18" customHeight="1" x14ac:dyDescent="0.25"/>
    <row r="2622" ht="18" customHeight="1" x14ac:dyDescent="0.25"/>
    <row r="2623" ht="18" customHeight="1" x14ac:dyDescent="0.25"/>
    <row r="2624" ht="18" customHeight="1" x14ac:dyDescent="0.25"/>
    <row r="2625" ht="18" customHeight="1" x14ac:dyDescent="0.25"/>
    <row r="2626" ht="18" customHeight="1" x14ac:dyDescent="0.25"/>
    <row r="2627" ht="18" customHeight="1" x14ac:dyDescent="0.25"/>
    <row r="2628" ht="18" customHeight="1" x14ac:dyDescent="0.25"/>
    <row r="2629" ht="18" customHeight="1" x14ac:dyDescent="0.25"/>
    <row r="2630" ht="18" customHeight="1" x14ac:dyDescent="0.25"/>
    <row r="2631" ht="18" customHeight="1" x14ac:dyDescent="0.25"/>
    <row r="2632" ht="18" customHeight="1" x14ac:dyDescent="0.25"/>
    <row r="2633" ht="18" customHeight="1" x14ac:dyDescent="0.25"/>
    <row r="2634" ht="18" customHeight="1" x14ac:dyDescent="0.25"/>
    <row r="2635" ht="18" customHeight="1" x14ac:dyDescent="0.25"/>
    <row r="2636" ht="18" customHeight="1" x14ac:dyDescent="0.25"/>
    <row r="2637" ht="18" customHeight="1" x14ac:dyDescent="0.25"/>
    <row r="2638" ht="18" customHeight="1" x14ac:dyDescent="0.25"/>
    <row r="2639" ht="18" customHeight="1" x14ac:dyDescent="0.25"/>
    <row r="2640" ht="18" customHeight="1" x14ac:dyDescent="0.25"/>
    <row r="2641" ht="18" customHeight="1" x14ac:dyDescent="0.25"/>
    <row r="2642" ht="18" customHeight="1" x14ac:dyDescent="0.25"/>
    <row r="2643" ht="18" customHeight="1" x14ac:dyDescent="0.25"/>
    <row r="2644" ht="18" customHeight="1" x14ac:dyDescent="0.25"/>
    <row r="2645" ht="18" customHeight="1" x14ac:dyDescent="0.25"/>
    <row r="2646" ht="18" customHeight="1" x14ac:dyDescent="0.25"/>
    <row r="2647" ht="18" customHeight="1" x14ac:dyDescent="0.25"/>
    <row r="2648" ht="18" customHeight="1" x14ac:dyDescent="0.25"/>
    <row r="2649" ht="18" customHeight="1" x14ac:dyDescent="0.25"/>
    <row r="2650" ht="18" customHeight="1" x14ac:dyDescent="0.25"/>
    <row r="2651" ht="18" customHeight="1" x14ac:dyDescent="0.25"/>
    <row r="2652" ht="18" customHeight="1" x14ac:dyDescent="0.25"/>
    <row r="2653" ht="18" customHeight="1" x14ac:dyDescent="0.25"/>
    <row r="2654" ht="18" customHeight="1" x14ac:dyDescent="0.25"/>
    <row r="2655" ht="18" customHeight="1" x14ac:dyDescent="0.25"/>
    <row r="2656" ht="18" customHeight="1" x14ac:dyDescent="0.25"/>
    <row r="2657" ht="18" customHeight="1" x14ac:dyDescent="0.25"/>
    <row r="2658" ht="18" customHeight="1" x14ac:dyDescent="0.25"/>
    <row r="2659" ht="18" customHeight="1" x14ac:dyDescent="0.25"/>
    <row r="2660" ht="18" customHeight="1" x14ac:dyDescent="0.25"/>
    <row r="2661" ht="18" customHeight="1" x14ac:dyDescent="0.25"/>
    <row r="2662" ht="18" customHeight="1" x14ac:dyDescent="0.25"/>
    <row r="2663" ht="18" customHeight="1" x14ac:dyDescent="0.25"/>
    <row r="2664" ht="18" customHeight="1" x14ac:dyDescent="0.25"/>
    <row r="2665" ht="18" customHeight="1" x14ac:dyDescent="0.25"/>
    <row r="2666" ht="18" customHeight="1" x14ac:dyDescent="0.25"/>
    <row r="2667" ht="18" customHeight="1" x14ac:dyDescent="0.25"/>
    <row r="2668" ht="18" customHeight="1" x14ac:dyDescent="0.25"/>
    <row r="2669" ht="18" customHeight="1" x14ac:dyDescent="0.25"/>
    <row r="2670" ht="18" customHeight="1" x14ac:dyDescent="0.25"/>
    <row r="2671" ht="18" customHeight="1" x14ac:dyDescent="0.25"/>
    <row r="2672" ht="18" customHeight="1" x14ac:dyDescent="0.25"/>
    <row r="2673" ht="18" customHeight="1" x14ac:dyDescent="0.25"/>
    <row r="2674" ht="18" customHeight="1" x14ac:dyDescent="0.25"/>
    <row r="2675" ht="18" customHeight="1" x14ac:dyDescent="0.25"/>
    <row r="2676" ht="18" customHeight="1" x14ac:dyDescent="0.25"/>
    <row r="2677" ht="18" customHeight="1" x14ac:dyDescent="0.25"/>
    <row r="2678" ht="18" customHeight="1" x14ac:dyDescent="0.25"/>
    <row r="2679" ht="18" customHeight="1" x14ac:dyDescent="0.25"/>
    <row r="2680" ht="18" customHeight="1" x14ac:dyDescent="0.25"/>
    <row r="2681" ht="18" customHeight="1" x14ac:dyDescent="0.25"/>
    <row r="2682" ht="18" customHeight="1" x14ac:dyDescent="0.25"/>
    <row r="2683" ht="18" customHeight="1" x14ac:dyDescent="0.25"/>
    <row r="2684" ht="18" customHeight="1" x14ac:dyDescent="0.25"/>
    <row r="2685" ht="18" customHeight="1" x14ac:dyDescent="0.25"/>
    <row r="2686" ht="18" customHeight="1" x14ac:dyDescent="0.25"/>
    <row r="2687" ht="18" customHeight="1" x14ac:dyDescent="0.25"/>
    <row r="2688" ht="18" customHeight="1" x14ac:dyDescent="0.25"/>
    <row r="2689" ht="18" customHeight="1" x14ac:dyDescent="0.25"/>
    <row r="2690" ht="18" customHeight="1" x14ac:dyDescent="0.25"/>
    <row r="2691" ht="18" customHeight="1" x14ac:dyDescent="0.25"/>
    <row r="2692" ht="18" customHeight="1" x14ac:dyDescent="0.25"/>
    <row r="2693" ht="18" customHeight="1" x14ac:dyDescent="0.25"/>
    <row r="2694" ht="18" customHeight="1" x14ac:dyDescent="0.25"/>
    <row r="2695" ht="18" customHeight="1" x14ac:dyDescent="0.25"/>
    <row r="2696" ht="18" customHeight="1" x14ac:dyDescent="0.25"/>
    <row r="2697" ht="18" customHeight="1" x14ac:dyDescent="0.25"/>
    <row r="2698" ht="18" customHeight="1" x14ac:dyDescent="0.25"/>
    <row r="2699" ht="18" customHeight="1" x14ac:dyDescent="0.25"/>
    <row r="2700" ht="18" customHeight="1" x14ac:dyDescent="0.25"/>
    <row r="2701" ht="18" customHeight="1" x14ac:dyDescent="0.25"/>
    <row r="2702" ht="18" customHeight="1" x14ac:dyDescent="0.25"/>
    <row r="2703" ht="18" customHeight="1" x14ac:dyDescent="0.25"/>
    <row r="2704" ht="18" customHeight="1" x14ac:dyDescent="0.25"/>
    <row r="2705" ht="18" customHeight="1" x14ac:dyDescent="0.25"/>
    <row r="2706" ht="18" customHeight="1" x14ac:dyDescent="0.25"/>
    <row r="2707" ht="18" customHeight="1" x14ac:dyDescent="0.25"/>
    <row r="2708" ht="18" customHeight="1" x14ac:dyDescent="0.25"/>
    <row r="2709" ht="18" customHeight="1" x14ac:dyDescent="0.25"/>
    <row r="2710" ht="18" customHeight="1" x14ac:dyDescent="0.25"/>
    <row r="2711" ht="18" customHeight="1" x14ac:dyDescent="0.25"/>
    <row r="2712" ht="18" customHeight="1" x14ac:dyDescent="0.25"/>
    <row r="2713" ht="18" customHeight="1" x14ac:dyDescent="0.25"/>
    <row r="2714" ht="18" customHeight="1" x14ac:dyDescent="0.25"/>
    <row r="2715" ht="18" customHeight="1" x14ac:dyDescent="0.25"/>
    <row r="2716" ht="18" customHeight="1" x14ac:dyDescent="0.25"/>
    <row r="2717" ht="18" customHeight="1" x14ac:dyDescent="0.25"/>
    <row r="2718" ht="18" customHeight="1" x14ac:dyDescent="0.25"/>
    <row r="2719" ht="18" customHeight="1" x14ac:dyDescent="0.25"/>
    <row r="2720" ht="18" customHeight="1" x14ac:dyDescent="0.25"/>
    <row r="2721" ht="18" customHeight="1" x14ac:dyDescent="0.25"/>
    <row r="2722" ht="18" customHeight="1" x14ac:dyDescent="0.25"/>
    <row r="2723" ht="18" customHeight="1" x14ac:dyDescent="0.25"/>
    <row r="2724" ht="18" customHeight="1" x14ac:dyDescent="0.25"/>
    <row r="2725" ht="18" customHeight="1" x14ac:dyDescent="0.25"/>
    <row r="2726" ht="18" customHeight="1" x14ac:dyDescent="0.25"/>
    <row r="2727" ht="18" customHeight="1" x14ac:dyDescent="0.25"/>
    <row r="2728" ht="18" customHeight="1" x14ac:dyDescent="0.25"/>
    <row r="2729" ht="18" customHeight="1" x14ac:dyDescent="0.25"/>
    <row r="2730" ht="18" customHeight="1" x14ac:dyDescent="0.25"/>
    <row r="2731" ht="18" customHeight="1" x14ac:dyDescent="0.25"/>
    <row r="2732" ht="18" customHeight="1" x14ac:dyDescent="0.25"/>
    <row r="2733" ht="18" customHeight="1" x14ac:dyDescent="0.25"/>
    <row r="2734" ht="18" customHeight="1" x14ac:dyDescent="0.25"/>
    <row r="2735" ht="18" customHeight="1" x14ac:dyDescent="0.25"/>
    <row r="2736" ht="18" customHeight="1" x14ac:dyDescent="0.25"/>
    <row r="2737" ht="18" customHeight="1" x14ac:dyDescent="0.25"/>
    <row r="2738" ht="18" customHeight="1" x14ac:dyDescent="0.25"/>
    <row r="2739" ht="18" customHeight="1" x14ac:dyDescent="0.25"/>
    <row r="2740" ht="18" customHeight="1" x14ac:dyDescent="0.25"/>
    <row r="2741" ht="18" customHeight="1" x14ac:dyDescent="0.25"/>
    <row r="2742" ht="18" customHeight="1" x14ac:dyDescent="0.25"/>
    <row r="2743" ht="18" customHeight="1" x14ac:dyDescent="0.25"/>
    <row r="2744" ht="18" customHeight="1" x14ac:dyDescent="0.25"/>
    <row r="2745" ht="18" customHeight="1" x14ac:dyDescent="0.25"/>
    <row r="2746" ht="18" customHeight="1" x14ac:dyDescent="0.25"/>
    <row r="2747" ht="18" customHeight="1" x14ac:dyDescent="0.25"/>
    <row r="2748" ht="18" customHeight="1" x14ac:dyDescent="0.25"/>
    <row r="2749" ht="18" customHeight="1" x14ac:dyDescent="0.25"/>
    <row r="2750" ht="18" customHeight="1" x14ac:dyDescent="0.25"/>
    <row r="2751" ht="18" customHeight="1" x14ac:dyDescent="0.25"/>
    <row r="2752" ht="18" customHeight="1" x14ac:dyDescent="0.25"/>
    <row r="2753" ht="18" customHeight="1" x14ac:dyDescent="0.25"/>
    <row r="2754" ht="18" customHeight="1" x14ac:dyDescent="0.25"/>
    <row r="2755" ht="18" customHeight="1" x14ac:dyDescent="0.25"/>
    <row r="2756" ht="18" customHeight="1" x14ac:dyDescent="0.25"/>
    <row r="2757" ht="18" customHeight="1" x14ac:dyDescent="0.25"/>
    <row r="2758" ht="18" customHeight="1" x14ac:dyDescent="0.25"/>
    <row r="2759" ht="18" customHeight="1" x14ac:dyDescent="0.25"/>
    <row r="2760" ht="18" customHeight="1" x14ac:dyDescent="0.25"/>
    <row r="2761" ht="18" customHeight="1" x14ac:dyDescent="0.25"/>
    <row r="2762" ht="18" customHeight="1" x14ac:dyDescent="0.25"/>
    <row r="2763" ht="18" customHeight="1" x14ac:dyDescent="0.25"/>
    <row r="2764" ht="18" customHeight="1" x14ac:dyDescent="0.25"/>
    <row r="2765" ht="18" customHeight="1" x14ac:dyDescent="0.25"/>
    <row r="2766" ht="18" customHeight="1" x14ac:dyDescent="0.25"/>
    <row r="2767" ht="18" customHeight="1" x14ac:dyDescent="0.25"/>
    <row r="2768" ht="18" customHeight="1" x14ac:dyDescent="0.25"/>
    <row r="2769" ht="18" customHeight="1" x14ac:dyDescent="0.25"/>
    <row r="2770" ht="18" customHeight="1" x14ac:dyDescent="0.25"/>
    <row r="2771" ht="18" customHeight="1" x14ac:dyDescent="0.25"/>
    <row r="2772" ht="18" customHeight="1" x14ac:dyDescent="0.25"/>
    <row r="2773" ht="18" customHeight="1" x14ac:dyDescent="0.25"/>
    <row r="2774" ht="18" customHeight="1" x14ac:dyDescent="0.25"/>
    <row r="2775" ht="18" customHeight="1" x14ac:dyDescent="0.25"/>
    <row r="2776" ht="18" customHeight="1" x14ac:dyDescent="0.25"/>
    <row r="2777" ht="18" customHeight="1" x14ac:dyDescent="0.25"/>
    <row r="2778" ht="18" customHeight="1" x14ac:dyDescent="0.25"/>
    <row r="2779" ht="18" customHeight="1" x14ac:dyDescent="0.25"/>
    <row r="2780" ht="18" customHeight="1" x14ac:dyDescent="0.25"/>
    <row r="2781" ht="18" customHeight="1" x14ac:dyDescent="0.25"/>
    <row r="2782" ht="18" customHeight="1" x14ac:dyDescent="0.25"/>
    <row r="2783" ht="18" customHeight="1" x14ac:dyDescent="0.25"/>
    <row r="2784" ht="18" customHeight="1" x14ac:dyDescent="0.25"/>
    <row r="2785" ht="18" customHeight="1" x14ac:dyDescent="0.25"/>
    <row r="2786" ht="18" customHeight="1" x14ac:dyDescent="0.25"/>
    <row r="2787" ht="18" customHeight="1" x14ac:dyDescent="0.25"/>
    <row r="2788" ht="18" customHeight="1" x14ac:dyDescent="0.25"/>
    <row r="2789" ht="18" customHeight="1" x14ac:dyDescent="0.25"/>
    <row r="2790" ht="18" customHeight="1" x14ac:dyDescent="0.25"/>
    <row r="2791" ht="18" customHeight="1" x14ac:dyDescent="0.25"/>
    <row r="2792" ht="18" customHeight="1" x14ac:dyDescent="0.25"/>
    <row r="2793" ht="18" customHeight="1" x14ac:dyDescent="0.25"/>
    <row r="2794" ht="18" customHeight="1" x14ac:dyDescent="0.25"/>
    <row r="2795" ht="18" customHeight="1" x14ac:dyDescent="0.25"/>
    <row r="2796" ht="18" customHeight="1" x14ac:dyDescent="0.25"/>
    <row r="2797" ht="18" customHeight="1" x14ac:dyDescent="0.25"/>
    <row r="2798" ht="18" customHeight="1" x14ac:dyDescent="0.25"/>
    <row r="2799" ht="18" customHeight="1" x14ac:dyDescent="0.25"/>
    <row r="2800" ht="18" customHeight="1" x14ac:dyDescent="0.25"/>
    <row r="2801" ht="18" customHeight="1" x14ac:dyDescent="0.25"/>
    <row r="2802" ht="18" customHeight="1" x14ac:dyDescent="0.25"/>
    <row r="2803" ht="18" customHeight="1" x14ac:dyDescent="0.25"/>
    <row r="2804" ht="18" customHeight="1" x14ac:dyDescent="0.25"/>
    <row r="2805" ht="18" customHeight="1" x14ac:dyDescent="0.25"/>
    <row r="2806" ht="18" customHeight="1" x14ac:dyDescent="0.25"/>
    <row r="2807" ht="18" customHeight="1" x14ac:dyDescent="0.25"/>
    <row r="2808" ht="18" customHeight="1" x14ac:dyDescent="0.25"/>
    <row r="2809" ht="18" customHeight="1" x14ac:dyDescent="0.25"/>
    <row r="2810" ht="18" customHeight="1" x14ac:dyDescent="0.25"/>
    <row r="2811" ht="18" customHeight="1" x14ac:dyDescent="0.25"/>
    <row r="2812" ht="18" customHeight="1" x14ac:dyDescent="0.25"/>
    <row r="2813" ht="18" customHeight="1" x14ac:dyDescent="0.25"/>
    <row r="2814" ht="18" customHeight="1" x14ac:dyDescent="0.25"/>
    <row r="2815" ht="18" customHeight="1" x14ac:dyDescent="0.25"/>
    <row r="2816" ht="18" customHeight="1" x14ac:dyDescent="0.25"/>
    <row r="2817" ht="18" customHeight="1" x14ac:dyDescent="0.25"/>
    <row r="2818" ht="18" customHeight="1" x14ac:dyDescent="0.25"/>
    <row r="2819" ht="18" customHeight="1" x14ac:dyDescent="0.25"/>
    <row r="2820" ht="18" customHeight="1" x14ac:dyDescent="0.25"/>
    <row r="2821" ht="18" customHeight="1" x14ac:dyDescent="0.25"/>
    <row r="2822" ht="18" customHeight="1" x14ac:dyDescent="0.25"/>
    <row r="2823" ht="18" customHeight="1" x14ac:dyDescent="0.25"/>
    <row r="2824" ht="18" customHeight="1" x14ac:dyDescent="0.25"/>
    <row r="2825" ht="18" customHeight="1" x14ac:dyDescent="0.25"/>
    <row r="2826" ht="18" customHeight="1" x14ac:dyDescent="0.25"/>
    <row r="2827" ht="18" customHeight="1" x14ac:dyDescent="0.25"/>
    <row r="2828" ht="18" customHeight="1" x14ac:dyDescent="0.25"/>
    <row r="2829" ht="18" customHeight="1" x14ac:dyDescent="0.25"/>
    <row r="2830" ht="18" customHeight="1" x14ac:dyDescent="0.25"/>
    <row r="2831" ht="18" customHeight="1" x14ac:dyDescent="0.25"/>
    <row r="2832" ht="18" customHeight="1" x14ac:dyDescent="0.25"/>
    <row r="2833" ht="18" customHeight="1" x14ac:dyDescent="0.25"/>
    <row r="2834" ht="18" customHeight="1" x14ac:dyDescent="0.25"/>
    <row r="2835" ht="18" customHeight="1" x14ac:dyDescent="0.25"/>
    <row r="2836" ht="18" customHeight="1" x14ac:dyDescent="0.25"/>
    <row r="2837" ht="18" customHeight="1" x14ac:dyDescent="0.25"/>
    <row r="2838" ht="18" customHeight="1" x14ac:dyDescent="0.25"/>
    <row r="2839" ht="18" customHeight="1" x14ac:dyDescent="0.25"/>
    <row r="2840" ht="18" customHeight="1" x14ac:dyDescent="0.25"/>
    <row r="2841" ht="18" customHeight="1" x14ac:dyDescent="0.25"/>
    <row r="2842" ht="18" customHeight="1" x14ac:dyDescent="0.25"/>
    <row r="2843" ht="18" customHeight="1" x14ac:dyDescent="0.25"/>
    <row r="2844" ht="18" customHeight="1" x14ac:dyDescent="0.25"/>
    <row r="2845" ht="18" customHeight="1" x14ac:dyDescent="0.25"/>
    <row r="2846" ht="18" customHeight="1" x14ac:dyDescent="0.25"/>
    <row r="2847" ht="18" customHeight="1" x14ac:dyDescent="0.25"/>
    <row r="2848" ht="18" customHeight="1" x14ac:dyDescent="0.25"/>
    <row r="2849" ht="18" customHeight="1" x14ac:dyDescent="0.25"/>
    <row r="2850" ht="18" customHeight="1" x14ac:dyDescent="0.25"/>
    <row r="2851" ht="18" customHeight="1" x14ac:dyDescent="0.25"/>
    <row r="2852" ht="18" customHeight="1" x14ac:dyDescent="0.25"/>
    <row r="2853" ht="18" customHeight="1" x14ac:dyDescent="0.25"/>
    <row r="2854" ht="18" customHeight="1" x14ac:dyDescent="0.25"/>
    <row r="2855" ht="18" customHeight="1" x14ac:dyDescent="0.25"/>
    <row r="2856" ht="18" customHeight="1" x14ac:dyDescent="0.25"/>
    <row r="2857" ht="18" customHeight="1" x14ac:dyDescent="0.25"/>
    <row r="2858" ht="18" customHeight="1" x14ac:dyDescent="0.25"/>
    <row r="2859" ht="18" customHeight="1" x14ac:dyDescent="0.25"/>
    <row r="2860" ht="18" customHeight="1" x14ac:dyDescent="0.25"/>
    <row r="2861" ht="18" customHeight="1" x14ac:dyDescent="0.25"/>
    <row r="2862" ht="18" customHeight="1" x14ac:dyDescent="0.25"/>
    <row r="2863" ht="18" customHeight="1" x14ac:dyDescent="0.25"/>
    <row r="2864" ht="18" customHeight="1" x14ac:dyDescent="0.25"/>
    <row r="2865" ht="18" customHeight="1" x14ac:dyDescent="0.25"/>
    <row r="2866" ht="18" customHeight="1" x14ac:dyDescent="0.25"/>
    <row r="2867" ht="18" customHeight="1" x14ac:dyDescent="0.25"/>
    <row r="2868" ht="18" customHeight="1" x14ac:dyDescent="0.25"/>
    <row r="2869" ht="18" customHeight="1" x14ac:dyDescent="0.25"/>
    <row r="2870" ht="18" customHeight="1" x14ac:dyDescent="0.25"/>
    <row r="2871" ht="18" customHeight="1" x14ac:dyDescent="0.25"/>
    <row r="2872" ht="18" customHeight="1" x14ac:dyDescent="0.25"/>
    <row r="2873" ht="18" customHeight="1" x14ac:dyDescent="0.25"/>
    <row r="2874" ht="18" customHeight="1" x14ac:dyDescent="0.25"/>
    <row r="2875" ht="18" customHeight="1" x14ac:dyDescent="0.25"/>
    <row r="2876" ht="18" customHeight="1" x14ac:dyDescent="0.25"/>
    <row r="2877" ht="18" customHeight="1" x14ac:dyDescent="0.25"/>
    <row r="2878" ht="18" customHeight="1" x14ac:dyDescent="0.25"/>
    <row r="2879" ht="18" customHeight="1" x14ac:dyDescent="0.25"/>
    <row r="2880" ht="18" customHeight="1" x14ac:dyDescent="0.25"/>
    <row r="2881" ht="18" customHeight="1" x14ac:dyDescent="0.25"/>
    <row r="2882" ht="18" customHeight="1" x14ac:dyDescent="0.25"/>
    <row r="2883" ht="18" customHeight="1" x14ac:dyDescent="0.25"/>
    <row r="2884" ht="18" customHeight="1" x14ac:dyDescent="0.25"/>
    <row r="2885" ht="18" customHeight="1" x14ac:dyDescent="0.25"/>
    <row r="2886" ht="18" customHeight="1" x14ac:dyDescent="0.25"/>
    <row r="2887" ht="18" customHeight="1" x14ac:dyDescent="0.25"/>
    <row r="2888" ht="18" customHeight="1" x14ac:dyDescent="0.25"/>
    <row r="2889" ht="18" customHeight="1" x14ac:dyDescent="0.25"/>
    <row r="2890" ht="18" customHeight="1" x14ac:dyDescent="0.25"/>
    <row r="2891" ht="18" customHeight="1" x14ac:dyDescent="0.25"/>
    <row r="2892" ht="18" customHeight="1" x14ac:dyDescent="0.25"/>
    <row r="2893" ht="18" customHeight="1" x14ac:dyDescent="0.25"/>
    <row r="2894" ht="18" customHeight="1" x14ac:dyDescent="0.25"/>
    <row r="2895" ht="18" customHeight="1" x14ac:dyDescent="0.25"/>
    <row r="2896" ht="18" customHeight="1" x14ac:dyDescent="0.25"/>
    <row r="2897" ht="18" customHeight="1" x14ac:dyDescent="0.25"/>
    <row r="2898" ht="18" customHeight="1" x14ac:dyDescent="0.25"/>
    <row r="2899" ht="18" customHeight="1" x14ac:dyDescent="0.25"/>
    <row r="2900" ht="18" customHeight="1" x14ac:dyDescent="0.25"/>
    <row r="2901" ht="18" customHeight="1" x14ac:dyDescent="0.25"/>
    <row r="2902" ht="18" customHeight="1" x14ac:dyDescent="0.25"/>
    <row r="2903" ht="18" customHeight="1" x14ac:dyDescent="0.25"/>
    <row r="2904" ht="18" customHeight="1" x14ac:dyDescent="0.25"/>
    <row r="2905" ht="18" customHeight="1" x14ac:dyDescent="0.25"/>
    <row r="2906" ht="18" customHeight="1" x14ac:dyDescent="0.25"/>
    <row r="2907" ht="18" customHeight="1" x14ac:dyDescent="0.25"/>
    <row r="2908" ht="18" customHeight="1" x14ac:dyDescent="0.25"/>
    <row r="2909" ht="18" customHeight="1" x14ac:dyDescent="0.25"/>
    <row r="2910" ht="18" customHeight="1" x14ac:dyDescent="0.25"/>
    <row r="2911" ht="18" customHeight="1" x14ac:dyDescent="0.25"/>
    <row r="2912" ht="18" customHeight="1" x14ac:dyDescent="0.25"/>
    <row r="2913" ht="18" customHeight="1" x14ac:dyDescent="0.25"/>
    <row r="2914" ht="18" customHeight="1" x14ac:dyDescent="0.25"/>
    <row r="2915" ht="18" customHeight="1" x14ac:dyDescent="0.25"/>
    <row r="2916" ht="18" customHeight="1" x14ac:dyDescent="0.25"/>
    <row r="2917" ht="18" customHeight="1" x14ac:dyDescent="0.25"/>
    <row r="2918" ht="18" customHeight="1" x14ac:dyDescent="0.25"/>
    <row r="2919" ht="18" customHeight="1" x14ac:dyDescent="0.25"/>
    <row r="2920" ht="18" customHeight="1" x14ac:dyDescent="0.25"/>
    <row r="2921" ht="18" customHeight="1" x14ac:dyDescent="0.25"/>
    <row r="2922" ht="18" customHeight="1" x14ac:dyDescent="0.25"/>
    <row r="2923" ht="18" customHeight="1" x14ac:dyDescent="0.25"/>
    <row r="2924" ht="18" customHeight="1" x14ac:dyDescent="0.25"/>
    <row r="2925" ht="18" customHeight="1" x14ac:dyDescent="0.25"/>
    <row r="2926" ht="18" customHeight="1" x14ac:dyDescent="0.25"/>
    <row r="2927" ht="18" customHeight="1" x14ac:dyDescent="0.25"/>
    <row r="2928" ht="18" customHeight="1" x14ac:dyDescent="0.25"/>
    <row r="2929" ht="18" customHeight="1" x14ac:dyDescent="0.25"/>
    <row r="2930" ht="18" customHeight="1" x14ac:dyDescent="0.25"/>
    <row r="2931" ht="18" customHeight="1" x14ac:dyDescent="0.25"/>
    <row r="2932" ht="18" customHeight="1" x14ac:dyDescent="0.25"/>
    <row r="2933" ht="18" customHeight="1" x14ac:dyDescent="0.25"/>
    <row r="2934" ht="18" customHeight="1" x14ac:dyDescent="0.25"/>
    <row r="2935" ht="18" customHeight="1" x14ac:dyDescent="0.25"/>
    <row r="2936" ht="18" customHeight="1" x14ac:dyDescent="0.25"/>
    <row r="2937" ht="18" customHeight="1" x14ac:dyDescent="0.25"/>
    <row r="2938" ht="18" customHeight="1" x14ac:dyDescent="0.25"/>
    <row r="2939" ht="18" customHeight="1" x14ac:dyDescent="0.25"/>
    <row r="2940" ht="18" customHeight="1" x14ac:dyDescent="0.25"/>
    <row r="2941" ht="18" customHeight="1" x14ac:dyDescent="0.25"/>
    <row r="2942" ht="18" customHeight="1" x14ac:dyDescent="0.25"/>
    <row r="2943" ht="18" customHeight="1" x14ac:dyDescent="0.25"/>
    <row r="2944" ht="18" customHeight="1" x14ac:dyDescent="0.25"/>
    <row r="2945" ht="18" customHeight="1" x14ac:dyDescent="0.25"/>
    <row r="2946" ht="18" customHeight="1" x14ac:dyDescent="0.25"/>
    <row r="2947" ht="18" customHeight="1" x14ac:dyDescent="0.25"/>
    <row r="2948" ht="18" customHeight="1" x14ac:dyDescent="0.25"/>
    <row r="2949" ht="18" customHeight="1" x14ac:dyDescent="0.25"/>
    <row r="2950" ht="18" customHeight="1" x14ac:dyDescent="0.25"/>
    <row r="2951" ht="18" customHeight="1" x14ac:dyDescent="0.25"/>
    <row r="2952" ht="18" customHeight="1" x14ac:dyDescent="0.25"/>
    <row r="2953" ht="18" customHeight="1" x14ac:dyDescent="0.25"/>
    <row r="2954" ht="18" customHeight="1" x14ac:dyDescent="0.25"/>
    <row r="2955" ht="18" customHeight="1" x14ac:dyDescent="0.25"/>
    <row r="2956" ht="18" customHeight="1" x14ac:dyDescent="0.25"/>
    <row r="2957" ht="18" customHeight="1" x14ac:dyDescent="0.25"/>
    <row r="2958" ht="18" customHeight="1" x14ac:dyDescent="0.25"/>
    <row r="2959" ht="18" customHeight="1" x14ac:dyDescent="0.25"/>
    <row r="2960" ht="18" customHeight="1" x14ac:dyDescent="0.25"/>
    <row r="2961" ht="18" customHeight="1" x14ac:dyDescent="0.25"/>
    <row r="2962" ht="18" customHeight="1" x14ac:dyDescent="0.25"/>
    <row r="2963" ht="18" customHeight="1" x14ac:dyDescent="0.25"/>
    <row r="2964" ht="18" customHeight="1" x14ac:dyDescent="0.25"/>
    <row r="2965" ht="18" customHeight="1" x14ac:dyDescent="0.25"/>
    <row r="2966" ht="18" customHeight="1" x14ac:dyDescent="0.25"/>
    <row r="2967" ht="18" customHeight="1" x14ac:dyDescent="0.25"/>
    <row r="2968" ht="18" customHeight="1" x14ac:dyDescent="0.25"/>
    <row r="2969" ht="18" customHeight="1" x14ac:dyDescent="0.25"/>
    <row r="2970" ht="18" customHeight="1" x14ac:dyDescent="0.25"/>
    <row r="2971" ht="18" customHeight="1" x14ac:dyDescent="0.25"/>
    <row r="2972" ht="18" customHeight="1" x14ac:dyDescent="0.25"/>
    <row r="2973" ht="18" customHeight="1" x14ac:dyDescent="0.25"/>
    <row r="2974" ht="18" customHeight="1" x14ac:dyDescent="0.25"/>
    <row r="2975" ht="18" customHeight="1" x14ac:dyDescent="0.25"/>
    <row r="2976" ht="18" customHeight="1" x14ac:dyDescent="0.25"/>
    <row r="2977" ht="18" customHeight="1" x14ac:dyDescent="0.25"/>
    <row r="2978" ht="18" customHeight="1" x14ac:dyDescent="0.25"/>
    <row r="2979" ht="18" customHeight="1" x14ac:dyDescent="0.25"/>
    <row r="2980" ht="18" customHeight="1" x14ac:dyDescent="0.25"/>
    <row r="2981" ht="18" customHeight="1" x14ac:dyDescent="0.25"/>
    <row r="2982" ht="18" customHeight="1" x14ac:dyDescent="0.25"/>
    <row r="2983" ht="18" customHeight="1" x14ac:dyDescent="0.25"/>
    <row r="2984" ht="18" customHeight="1" x14ac:dyDescent="0.25"/>
    <row r="2985" ht="18" customHeight="1" x14ac:dyDescent="0.25"/>
    <row r="2986" ht="18" customHeight="1" x14ac:dyDescent="0.25"/>
    <row r="2987" ht="18" customHeight="1" x14ac:dyDescent="0.25"/>
    <row r="2988" ht="18" customHeight="1" x14ac:dyDescent="0.25"/>
    <row r="2989" ht="18" customHeight="1" x14ac:dyDescent="0.25"/>
    <row r="2990" ht="18" customHeight="1" x14ac:dyDescent="0.25"/>
    <row r="2991" ht="18" customHeight="1" x14ac:dyDescent="0.25"/>
    <row r="2992" ht="18" customHeight="1" x14ac:dyDescent="0.25"/>
    <row r="2993" ht="18" customHeight="1" x14ac:dyDescent="0.25"/>
    <row r="2994" ht="18" customHeight="1" x14ac:dyDescent="0.25"/>
    <row r="2995" ht="18" customHeight="1" x14ac:dyDescent="0.25"/>
    <row r="2996" ht="18" customHeight="1" x14ac:dyDescent="0.25"/>
    <row r="2997" ht="18" customHeight="1" x14ac:dyDescent="0.25"/>
    <row r="2998" ht="18" customHeight="1" x14ac:dyDescent="0.25"/>
    <row r="2999" ht="18" customHeight="1" x14ac:dyDescent="0.25"/>
    <row r="3000" ht="18" customHeight="1" x14ac:dyDescent="0.25"/>
    <row r="3001" ht="18" customHeight="1" x14ac:dyDescent="0.25"/>
    <row r="3002" ht="18" customHeight="1" x14ac:dyDescent="0.25"/>
    <row r="3003" ht="18" customHeight="1" x14ac:dyDescent="0.25"/>
    <row r="3004" ht="18" customHeight="1" x14ac:dyDescent="0.25"/>
    <row r="3005" ht="18" customHeight="1" x14ac:dyDescent="0.25"/>
    <row r="3006" ht="18" customHeight="1" x14ac:dyDescent="0.25"/>
    <row r="3007" ht="18" customHeight="1" x14ac:dyDescent="0.25"/>
    <row r="3008" ht="18" customHeight="1" x14ac:dyDescent="0.25"/>
    <row r="3009" ht="18" customHeight="1" x14ac:dyDescent="0.25"/>
    <row r="3010" ht="18" customHeight="1" x14ac:dyDescent="0.25"/>
    <row r="3011" ht="18" customHeight="1" x14ac:dyDescent="0.25"/>
    <row r="3012" ht="18" customHeight="1" x14ac:dyDescent="0.25"/>
    <row r="3013" ht="18" customHeight="1" x14ac:dyDescent="0.25"/>
    <row r="3014" ht="18" customHeight="1" x14ac:dyDescent="0.25"/>
    <row r="3015" ht="18" customHeight="1" x14ac:dyDescent="0.25"/>
    <row r="3016" ht="18" customHeight="1" x14ac:dyDescent="0.25"/>
    <row r="3017" ht="18" customHeight="1" x14ac:dyDescent="0.25"/>
    <row r="3018" ht="18" customHeight="1" x14ac:dyDescent="0.25"/>
    <row r="3019" ht="18" customHeight="1" x14ac:dyDescent="0.25"/>
    <row r="3020" ht="18" customHeight="1" x14ac:dyDescent="0.25"/>
    <row r="3021" ht="18" customHeight="1" x14ac:dyDescent="0.25"/>
    <row r="3022" ht="18" customHeight="1" x14ac:dyDescent="0.25"/>
    <row r="3023" ht="18" customHeight="1" x14ac:dyDescent="0.25"/>
    <row r="3024" ht="18" customHeight="1" x14ac:dyDescent="0.25"/>
    <row r="3025" ht="18" customHeight="1" x14ac:dyDescent="0.25"/>
    <row r="3026" ht="18" customHeight="1" x14ac:dyDescent="0.25"/>
    <row r="3027" ht="18" customHeight="1" x14ac:dyDescent="0.25"/>
    <row r="3028" ht="18" customHeight="1" x14ac:dyDescent="0.25"/>
    <row r="3029" ht="18" customHeight="1" x14ac:dyDescent="0.25"/>
    <row r="3030" ht="18" customHeight="1" x14ac:dyDescent="0.25"/>
    <row r="3031" ht="18" customHeight="1" x14ac:dyDescent="0.25"/>
    <row r="3032" ht="18" customHeight="1" x14ac:dyDescent="0.25"/>
    <row r="3033" ht="18" customHeight="1" x14ac:dyDescent="0.25"/>
    <row r="3034" ht="18" customHeight="1" x14ac:dyDescent="0.25"/>
    <row r="3035" ht="18" customHeight="1" x14ac:dyDescent="0.25"/>
    <row r="3036" ht="18" customHeight="1" x14ac:dyDescent="0.25"/>
    <row r="3037" ht="18" customHeight="1" x14ac:dyDescent="0.25"/>
    <row r="3038" ht="18" customHeight="1" x14ac:dyDescent="0.25"/>
    <row r="3039" ht="18" customHeight="1" x14ac:dyDescent="0.25"/>
    <row r="3040" ht="18" customHeight="1" x14ac:dyDescent="0.25"/>
    <row r="3041" ht="18" customHeight="1" x14ac:dyDescent="0.25"/>
    <row r="3042" ht="18" customHeight="1" x14ac:dyDescent="0.25"/>
    <row r="3043" ht="18" customHeight="1" x14ac:dyDescent="0.25"/>
    <row r="3044" ht="18" customHeight="1" x14ac:dyDescent="0.25"/>
    <row r="3045" ht="18" customHeight="1" x14ac:dyDescent="0.25"/>
    <row r="3046" ht="18" customHeight="1" x14ac:dyDescent="0.25"/>
    <row r="3047" ht="18" customHeight="1" x14ac:dyDescent="0.25"/>
    <row r="3048" ht="18" customHeight="1" x14ac:dyDescent="0.25"/>
    <row r="3049" ht="18" customHeight="1" x14ac:dyDescent="0.25"/>
    <row r="3050" ht="18" customHeight="1" x14ac:dyDescent="0.25"/>
    <row r="3051" ht="18" customHeight="1" x14ac:dyDescent="0.25"/>
    <row r="3052" ht="18" customHeight="1" x14ac:dyDescent="0.25"/>
    <row r="3053" ht="18" customHeight="1" x14ac:dyDescent="0.25"/>
    <row r="3054" ht="18" customHeight="1" x14ac:dyDescent="0.25"/>
    <row r="3055" ht="18" customHeight="1" x14ac:dyDescent="0.25"/>
    <row r="3056" ht="18" customHeight="1" x14ac:dyDescent="0.25"/>
    <row r="3057" ht="18" customHeight="1" x14ac:dyDescent="0.25"/>
    <row r="3058" ht="18" customHeight="1" x14ac:dyDescent="0.25"/>
    <row r="3059" ht="18" customHeight="1" x14ac:dyDescent="0.25"/>
    <row r="3060" ht="18" customHeight="1" x14ac:dyDescent="0.25"/>
    <row r="3061" ht="18" customHeight="1" x14ac:dyDescent="0.25"/>
    <row r="3062" ht="18" customHeight="1" x14ac:dyDescent="0.25"/>
    <row r="3063" ht="18" customHeight="1" x14ac:dyDescent="0.25"/>
    <row r="3064" ht="18" customHeight="1" x14ac:dyDescent="0.25"/>
    <row r="3065" ht="18" customHeight="1" x14ac:dyDescent="0.25"/>
    <row r="3066" ht="18" customHeight="1" x14ac:dyDescent="0.25"/>
    <row r="3067" ht="18" customHeight="1" x14ac:dyDescent="0.25"/>
    <row r="3068" ht="18" customHeight="1" x14ac:dyDescent="0.25"/>
    <row r="3069" ht="18" customHeight="1" x14ac:dyDescent="0.25"/>
    <row r="3070" ht="18" customHeight="1" x14ac:dyDescent="0.25"/>
    <row r="3071" ht="18" customHeight="1" x14ac:dyDescent="0.25"/>
    <row r="3072" ht="18" customHeight="1" x14ac:dyDescent="0.25"/>
    <row r="3073" ht="18" customHeight="1" x14ac:dyDescent="0.25"/>
    <row r="3074" ht="18" customHeight="1" x14ac:dyDescent="0.25"/>
    <row r="3075" ht="18" customHeight="1" x14ac:dyDescent="0.25"/>
    <row r="3076" ht="18" customHeight="1" x14ac:dyDescent="0.25"/>
    <row r="3077" ht="18" customHeight="1" x14ac:dyDescent="0.25"/>
    <row r="3078" ht="18" customHeight="1" x14ac:dyDescent="0.25"/>
    <row r="3079" ht="18" customHeight="1" x14ac:dyDescent="0.25"/>
    <row r="3080" ht="18" customHeight="1" x14ac:dyDescent="0.25"/>
    <row r="3081" ht="18" customHeight="1" x14ac:dyDescent="0.25"/>
    <row r="3082" ht="18" customHeight="1" x14ac:dyDescent="0.25"/>
    <row r="3083" ht="18" customHeight="1" x14ac:dyDescent="0.25"/>
    <row r="3084" ht="18" customHeight="1" x14ac:dyDescent="0.25"/>
    <row r="3085" ht="18" customHeight="1" x14ac:dyDescent="0.25"/>
    <row r="3086" ht="18" customHeight="1" x14ac:dyDescent="0.25"/>
    <row r="3087" ht="18" customHeight="1" x14ac:dyDescent="0.25"/>
    <row r="3088" ht="18" customHeight="1" x14ac:dyDescent="0.25"/>
    <row r="3089" ht="18" customHeight="1" x14ac:dyDescent="0.25"/>
    <row r="3090" ht="18" customHeight="1" x14ac:dyDescent="0.25"/>
    <row r="3091" ht="18" customHeight="1" x14ac:dyDescent="0.25"/>
    <row r="3092" ht="18" customHeight="1" x14ac:dyDescent="0.25"/>
    <row r="3093" ht="18" customHeight="1" x14ac:dyDescent="0.25"/>
    <row r="3094" ht="18" customHeight="1" x14ac:dyDescent="0.25"/>
    <row r="3095" ht="18" customHeight="1" x14ac:dyDescent="0.25"/>
    <row r="3096" ht="18" customHeight="1" x14ac:dyDescent="0.25"/>
    <row r="3097" ht="18" customHeight="1" x14ac:dyDescent="0.25"/>
    <row r="3098" ht="18" customHeight="1" x14ac:dyDescent="0.25"/>
    <row r="3099" ht="18" customHeight="1" x14ac:dyDescent="0.25"/>
    <row r="3100" ht="18" customHeight="1" x14ac:dyDescent="0.25"/>
    <row r="3101" ht="18" customHeight="1" x14ac:dyDescent="0.25"/>
    <row r="3102" ht="18" customHeight="1" x14ac:dyDescent="0.25"/>
    <row r="3103" ht="18" customHeight="1" x14ac:dyDescent="0.25"/>
    <row r="3104" ht="18" customHeight="1" x14ac:dyDescent="0.25"/>
    <row r="3105" ht="18" customHeight="1" x14ac:dyDescent="0.25"/>
    <row r="3106" ht="18" customHeight="1" x14ac:dyDescent="0.25"/>
    <row r="3107" ht="18" customHeight="1" x14ac:dyDescent="0.25"/>
    <row r="3108" ht="18" customHeight="1" x14ac:dyDescent="0.25"/>
    <row r="3109" ht="18" customHeight="1" x14ac:dyDescent="0.25"/>
    <row r="3110" ht="18" customHeight="1" x14ac:dyDescent="0.25"/>
    <row r="3111" ht="18" customHeight="1" x14ac:dyDescent="0.25"/>
    <row r="3112" ht="18" customHeight="1" x14ac:dyDescent="0.25"/>
    <row r="3113" ht="18" customHeight="1" x14ac:dyDescent="0.25"/>
    <row r="3114" ht="18" customHeight="1" x14ac:dyDescent="0.25"/>
    <row r="3115" ht="18" customHeight="1" x14ac:dyDescent="0.25"/>
    <row r="3116" ht="18" customHeight="1" x14ac:dyDescent="0.25"/>
    <row r="3117" ht="18" customHeight="1" x14ac:dyDescent="0.25"/>
    <row r="3118" ht="18" customHeight="1" x14ac:dyDescent="0.25"/>
    <row r="3119" ht="18" customHeight="1" x14ac:dyDescent="0.25"/>
    <row r="3120" ht="18" customHeight="1" x14ac:dyDescent="0.25"/>
    <row r="3121" ht="18" customHeight="1" x14ac:dyDescent="0.25"/>
    <row r="3122" ht="18" customHeight="1" x14ac:dyDescent="0.25"/>
    <row r="3123" ht="18" customHeight="1" x14ac:dyDescent="0.25"/>
    <row r="3124" ht="18" customHeight="1" x14ac:dyDescent="0.25"/>
    <row r="3125" ht="18" customHeight="1" x14ac:dyDescent="0.25"/>
    <row r="3126" ht="18" customHeight="1" x14ac:dyDescent="0.25"/>
    <row r="3127" ht="18" customHeight="1" x14ac:dyDescent="0.25"/>
    <row r="3128" ht="18" customHeight="1" x14ac:dyDescent="0.25"/>
    <row r="3129" ht="18" customHeight="1" x14ac:dyDescent="0.25"/>
    <row r="3130" ht="18" customHeight="1" x14ac:dyDescent="0.25"/>
    <row r="3131" ht="18" customHeight="1" x14ac:dyDescent="0.25"/>
    <row r="3132" ht="18" customHeight="1" x14ac:dyDescent="0.25"/>
    <row r="3133" ht="18" customHeight="1" x14ac:dyDescent="0.25"/>
    <row r="3134" ht="18" customHeight="1" x14ac:dyDescent="0.25"/>
    <row r="3135" ht="18" customHeight="1" x14ac:dyDescent="0.25"/>
    <row r="3136" ht="18" customHeight="1" x14ac:dyDescent="0.25"/>
    <row r="3137" ht="18" customHeight="1" x14ac:dyDescent="0.25"/>
    <row r="3138" ht="18" customHeight="1" x14ac:dyDescent="0.25"/>
    <row r="3139" ht="18" customHeight="1" x14ac:dyDescent="0.25"/>
    <row r="3140" ht="18" customHeight="1" x14ac:dyDescent="0.25"/>
    <row r="3141" ht="18" customHeight="1" x14ac:dyDescent="0.25"/>
    <row r="3142" ht="18" customHeight="1" x14ac:dyDescent="0.25"/>
    <row r="3143" ht="18" customHeight="1" x14ac:dyDescent="0.25"/>
    <row r="3144" ht="18" customHeight="1" x14ac:dyDescent="0.25"/>
    <row r="3145" ht="18" customHeight="1" x14ac:dyDescent="0.25"/>
    <row r="3146" ht="18" customHeight="1" x14ac:dyDescent="0.25"/>
    <row r="3147" ht="18" customHeight="1" x14ac:dyDescent="0.25"/>
    <row r="3148" ht="18" customHeight="1" x14ac:dyDescent="0.25"/>
    <row r="3149" ht="18" customHeight="1" x14ac:dyDescent="0.25"/>
    <row r="3150" ht="18" customHeight="1" x14ac:dyDescent="0.25"/>
    <row r="3151" ht="18" customHeight="1" x14ac:dyDescent="0.25"/>
    <row r="3152" ht="18" customHeight="1" x14ac:dyDescent="0.25"/>
    <row r="3153" ht="18" customHeight="1" x14ac:dyDescent="0.25"/>
    <row r="3154" ht="18" customHeight="1" x14ac:dyDescent="0.25"/>
    <row r="3155" ht="18" customHeight="1" x14ac:dyDescent="0.25"/>
    <row r="3156" ht="18" customHeight="1" x14ac:dyDescent="0.25"/>
    <row r="3157" ht="18" customHeight="1" x14ac:dyDescent="0.25"/>
    <row r="3158" ht="18" customHeight="1" x14ac:dyDescent="0.25"/>
    <row r="3159" ht="18" customHeight="1" x14ac:dyDescent="0.25"/>
    <row r="3160" ht="18" customHeight="1" x14ac:dyDescent="0.25"/>
    <row r="3161" ht="18" customHeight="1" x14ac:dyDescent="0.25"/>
    <row r="3162" ht="18" customHeight="1" x14ac:dyDescent="0.25"/>
    <row r="3163" ht="18" customHeight="1" x14ac:dyDescent="0.25"/>
    <row r="3164" ht="18" customHeight="1" x14ac:dyDescent="0.25"/>
    <row r="3165" ht="18" customHeight="1" x14ac:dyDescent="0.25"/>
    <row r="3166" ht="18" customHeight="1" x14ac:dyDescent="0.25"/>
    <row r="3167" ht="18" customHeight="1" x14ac:dyDescent="0.25"/>
    <row r="3168" ht="18" customHeight="1" x14ac:dyDescent="0.25"/>
    <row r="3169" ht="18" customHeight="1" x14ac:dyDescent="0.25"/>
    <row r="3170" ht="18" customHeight="1" x14ac:dyDescent="0.25"/>
    <row r="3171" ht="18" customHeight="1" x14ac:dyDescent="0.25"/>
    <row r="3172" ht="18" customHeight="1" x14ac:dyDescent="0.25"/>
    <row r="3173" ht="18" customHeight="1" x14ac:dyDescent="0.25"/>
    <row r="3174" ht="18" customHeight="1" x14ac:dyDescent="0.25"/>
    <row r="3175" ht="18" customHeight="1" x14ac:dyDescent="0.25"/>
    <row r="3176" ht="18" customHeight="1" x14ac:dyDescent="0.25"/>
    <row r="3177" ht="18" customHeight="1" x14ac:dyDescent="0.25"/>
    <row r="3178" ht="18" customHeight="1" x14ac:dyDescent="0.25"/>
    <row r="3179" ht="18" customHeight="1" x14ac:dyDescent="0.25"/>
    <row r="3180" ht="18" customHeight="1" x14ac:dyDescent="0.25"/>
    <row r="3181" ht="18" customHeight="1" x14ac:dyDescent="0.25"/>
    <row r="3182" ht="18" customHeight="1" x14ac:dyDescent="0.25"/>
    <row r="3183" ht="18" customHeight="1" x14ac:dyDescent="0.25"/>
    <row r="3184" ht="18" customHeight="1" x14ac:dyDescent="0.25"/>
    <row r="3185" ht="18" customHeight="1" x14ac:dyDescent="0.25"/>
    <row r="3186" ht="18" customHeight="1" x14ac:dyDescent="0.25"/>
    <row r="3187" ht="18" customHeight="1" x14ac:dyDescent="0.25"/>
    <row r="3188" ht="18" customHeight="1" x14ac:dyDescent="0.25"/>
    <row r="3189" ht="18" customHeight="1" x14ac:dyDescent="0.25"/>
    <row r="3190" ht="18" customHeight="1" x14ac:dyDescent="0.25"/>
    <row r="3191" ht="18" customHeight="1" x14ac:dyDescent="0.25"/>
    <row r="3192" ht="18" customHeight="1" x14ac:dyDescent="0.25"/>
    <row r="3193" ht="18" customHeight="1" x14ac:dyDescent="0.25"/>
    <row r="3194" ht="18" customHeight="1" x14ac:dyDescent="0.25"/>
    <row r="3195" ht="18" customHeight="1" x14ac:dyDescent="0.25"/>
    <row r="3196" ht="18" customHeight="1" x14ac:dyDescent="0.25"/>
    <row r="3197" ht="18" customHeight="1" x14ac:dyDescent="0.25"/>
    <row r="3198" ht="18" customHeight="1" x14ac:dyDescent="0.25"/>
    <row r="3199" ht="18" customHeight="1" x14ac:dyDescent="0.25"/>
    <row r="3200" ht="18" customHeight="1" x14ac:dyDescent="0.25"/>
    <row r="3201" ht="18" customHeight="1" x14ac:dyDescent="0.25"/>
    <row r="3202" ht="18" customHeight="1" x14ac:dyDescent="0.25"/>
    <row r="3203" ht="18" customHeight="1" x14ac:dyDescent="0.25"/>
    <row r="3204" ht="18" customHeight="1" x14ac:dyDescent="0.25"/>
    <row r="3205" ht="18" customHeight="1" x14ac:dyDescent="0.25"/>
    <row r="3206" ht="18" customHeight="1" x14ac:dyDescent="0.25"/>
    <row r="3207" ht="18" customHeight="1" x14ac:dyDescent="0.25"/>
    <row r="3208" ht="18" customHeight="1" x14ac:dyDescent="0.25"/>
    <row r="3209" ht="18" customHeight="1" x14ac:dyDescent="0.25"/>
    <row r="3210" ht="18" customHeight="1" x14ac:dyDescent="0.25"/>
    <row r="3211" ht="18" customHeight="1" x14ac:dyDescent="0.25"/>
    <row r="3212" ht="18" customHeight="1" x14ac:dyDescent="0.25"/>
    <row r="3213" ht="18" customHeight="1" x14ac:dyDescent="0.25"/>
    <row r="3214" ht="18" customHeight="1" x14ac:dyDescent="0.25"/>
    <row r="3215" ht="18" customHeight="1" x14ac:dyDescent="0.25"/>
    <row r="3216" ht="18" customHeight="1" x14ac:dyDescent="0.25"/>
    <row r="3217" ht="18" customHeight="1" x14ac:dyDescent="0.25"/>
    <row r="3218" ht="18" customHeight="1" x14ac:dyDescent="0.25"/>
    <row r="3219" ht="18" customHeight="1" x14ac:dyDescent="0.25"/>
    <row r="3220" ht="18" customHeight="1" x14ac:dyDescent="0.25"/>
    <row r="3221" ht="18" customHeight="1" x14ac:dyDescent="0.25"/>
    <row r="3222" ht="18" customHeight="1" x14ac:dyDescent="0.25"/>
    <row r="3223" ht="18" customHeight="1" x14ac:dyDescent="0.25"/>
    <row r="3224" ht="18" customHeight="1" x14ac:dyDescent="0.25"/>
    <row r="3225" ht="18" customHeight="1" x14ac:dyDescent="0.25"/>
    <row r="3226" ht="18" customHeight="1" x14ac:dyDescent="0.25"/>
    <row r="3227" ht="18" customHeight="1" x14ac:dyDescent="0.25"/>
    <row r="3228" ht="18" customHeight="1" x14ac:dyDescent="0.25"/>
    <row r="3229" ht="18" customHeight="1" x14ac:dyDescent="0.25"/>
    <row r="3230" ht="18" customHeight="1" x14ac:dyDescent="0.25"/>
    <row r="3231" ht="18" customHeight="1" x14ac:dyDescent="0.25"/>
    <row r="3232" ht="18" customHeight="1" x14ac:dyDescent="0.25"/>
    <row r="3233" ht="18" customHeight="1" x14ac:dyDescent="0.25"/>
    <row r="3234" ht="18" customHeight="1" x14ac:dyDescent="0.25"/>
    <row r="3235" ht="18" customHeight="1" x14ac:dyDescent="0.25"/>
    <row r="3236" ht="18" customHeight="1" x14ac:dyDescent="0.25"/>
    <row r="3237" ht="18" customHeight="1" x14ac:dyDescent="0.25"/>
    <row r="3238" ht="18" customHeight="1" x14ac:dyDescent="0.25"/>
    <row r="3239" ht="18" customHeight="1" x14ac:dyDescent="0.25"/>
    <row r="3240" ht="18" customHeight="1" x14ac:dyDescent="0.25"/>
    <row r="3241" ht="18" customHeight="1" x14ac:dyDescent="0.25"/>
    <row r="3242" ht="18" customHeight="1" x14ac:dyDescent="0.25"/>
    <row r="3243" ht="18" customHeight="1" x14ac:dyDescent="0.25"/>
    <row r="3244" ht="18" customHeight="1" x14ac:dyDescent="0.25"/>
    <row r="3245" ht="18" customHeight="1" x14ac:dyDescent="0.25"/>
    <row r="3246" ht="18" customHeight="1" x14ac:dyDescent="0.25"/>
    <row r="3247" ht="18" customHeight="1" x14ac:dyDescent="0.25"/>
    <row r="3248" ht="18" customHeight="1" x14ac:dyDescent="0.25"/>
    <row r="3249" ht="18" customHeight="1" x14ac:dyDescent="0.25"/>
    <row r="3250" ht="18" customHeight="1" x14ac:dyDescent="0.25"/>
    <row r="3251" ht="18" customHeight="1" x14ac:dyDescent="0.25"/>
    <row r="3252" ht="18" customHeight="1" x14ac:dyDescent="0.25"/>
    <row r="3253" ht="18" customHeight="1" x14ac:dyDescent="0.25"/>
    <row r="3254" ht="18" customHeight="1" x14ac:dyDescent="0.25"/>
    <row r="3255" ht="18" customHeight="1" x14ac:dyDescent="0.25"/>
    <row r="3256" ht="18" customHeight="1" x14ac:dyDescent="0.25"/>
    <row r="3257" ht="18" customHeight="1" x14ac:dyDescent="0.25"/>
    <row r="3258" ht="18" customHeight="1" x14ac:dyDescent="0.25"/>
    <row r="3259" ht="18" customHeight="1" x14ac:dyDescent="0.25"/>
    <row r="3260" ht="18" customHeight="1" x14ac:dyDescent="0.25"/>
    <row r="3261" ht="18" customHeight="1" x14ac:dyDescent="0.25"/>
    <row r="3262" ht="18" customHeight="1" x14ac:dyDescent="0.25"/>
    <row r="3263" ht="18" customHeight="1" x14ac:dyDescent="0.25"/>
    <row r="3264" ht="18" customHeight="1" x14ac:dyDescent="0.25"/>
    <row r="3265" ht="18" customHeight="1" x14ac:dyDescent="0.25"/>
    <row r="3266" ht="18" customHeight="1" x14ac:dyDescent="0.25"/>
    <row r="3267" ht="18" customHeight="1" x14ac:dyDescent="0.25"/>
    <row r="3268" ht="18" customHeight="1" x14ac:dyDescent="0.25"/>
    <row r="3269" ht="18" customHeight="1" x14ac:dyDescent="0.25"/>
    <row r="3270" ht="18" customHeight="1" x14ac:dyDescent="0.25"/>
    <row r="3271" ht="18" customHeight="1" x14ac:dyDescent="0.25"/>
    <row r="3272" ht="18" customHeight="1" x14ac:dyDescent="0.25"/>
    <row r="3273" ht="18" customHeight="1" x14ac:dyDescent="0.25"/>
    <row r="3274" ht="18" customHeight="1" x14ac:dyDescent="0.25"/>
    <row r="3275" ht="18" customHeight="1" x14ac:dyDescent="0.25"/>
    <row r="3276" ht="18" customHeight="1" x14ac:dyDescent="0.25"/>
    <row r="3277" ht="18" customHeight="1" x14ac:dyDescent="0.25"/>
    <row r="3278" ht="18" customHeight="1" x14ac:dyDescent="0.25"/>
    <row r="3279" ht="18" customHeight="1" x14ac:dyDescent="0.25"/>
    <row r="3280" ht="18" customHeight="1" x14ac:dyDescent="0.25"/>
    <row r="3281" ht="18" customHeight="1" x14ac:dyDescent="0.25"/>
    <row r="3282" ht="18" customHeight="1" x14ac:dyDescent="0.25"/>
    <row r="3283" ht="18" customHeight="1" x14ac:dyDescent="0.25"/>
    <row r="3284" ht="18" customHeight="1" x14ac:dyDescent="0.25"/>
    <row r="3285" ht="18" customHeight="1" x14ac:dyDescent="0.25"/>
    <row r="3286" ht="18" customHeight="1" x14ac:dyDescent="0.25"/>
    <row r="3287" ht="18" customHeight="1" x14ac:dyDescent="0.25"/>
    <row r="3288" ht="18" customHeight="1" x14ac:dyDescent="0.25"/>
    <row r="3289" ht="18" customHeight="1" x14ac:dyDescent="0.25"/>
    <row r="3290" ht="18" customHeight="1" x14ac:dyDescent="0.25"/>
    <row r="3291" ht="18" customHeight="1" x14ac:dyDescent="0.25"/>
    <row r="3292" ht="18" customHeight="1" x14ac:dyDescent="0.25"/>
    <row r="3293" ht="18" customHeight="1" x14ac:dyDescent="0.25"/>
    <row r="3294" ht="18" customHeight="1" x14ac:dyDescent="0.25"/>
    <row r="3295" ht="18" customHeight="1" x14ac:dyDescent="0.25"/>
    <row r="3296" ht="18" customHeight="1" x14ac:dyDescent="0.25"/>
    <row r="3297" ht="18" customHeight="1" x14ac:dyDescent="0.25"/>
    <row r="3298" ht="18" customHeight="1" x14ac:dyDescent="0.25"/>
    <row r="3299" ht="18" customHeight="1" x14ac:dyDescent="0.25"/>
    <row r="3300" ht="18" customHeight="1" x14ac:dyDescent="0.25"/>
    <row r="3301" ht="18" customHeight="1" x14ac:dyDescent="0.25"/>
    <row r="3302" ht="18" customHeight="1" x14ac:dyDescent="0.25"/>
    <row r="3303" ht="18" customHeight="1" x14ac:dyDescent="0.25"/>
    <row r="3304" ht="18" customHeight="1" x14ac:dyDescent="0.25"/>
    <row r="3305" ht="18" customHeight="1" x14ac:dyDescent="0.25"/>
    <row r="3306" ht="18" customHeight="1" x14ac:dyDescent="0.25"/>
    <row r="3307" ht="18" customHeight="1" x14ac:dyDescent="0.25"/>
    <row r="3308" ht="18" customHeight="1" x14ac:dyDescent="0.25"/>
    <row r="3309" ht="18" customHeight="1" x14ac:dyDescent="0.25"/>
    <row r="3310" ht="18" customHeight="1" x14ac:dyDescent="0.25"/>
    <row r="3311" ht="18" customHeight="1" x14ac:dyDescent="0.25"/>
    <row r="3312" ht="18" customHeight="1" x14ac:dyDescent="0.25"/>
    <row r="3313" ht="18" customHeight="1" x14ac:dyDescent="0.25"/>
    <row r="3314" ht="18" customHeight="1" x14ac:dyDescent="0.25"/>
    <row r="3315" ht="18" customHeight="1" x14ac:dyDescent="0.25"/>
    <row r="3316" ht="18" customHeight="1" x14ac:dyDescent="0.25"/>
    <row r="3317" ht="18" customHeight="1" x14ac:dyDescent="0.25"/>
    <row r="3318" ht="18" customHeight="1" x14ac:dyDescent="0.25"/>
    <row r="3319" ht="18" customHeight="1" x14ac:dyDescent="0.25"/>
    <row r="3320" ht="18" customHeight="1" x14ac:dyDescent="0.25"/>
    <row r="3321" ht="18" customHeight="1" x14ac:dyDescent="0.25"/>
    <row r="3322" ht="18" customHeight="1" x14ac:dyDescent="0.25"/>
    <row r="3323" ht="18" customHeight="1" x14ac:dyDescent="0.25"/>
    <row r="3324" ht="18" customHeight="1" x14ac:dyDescent="0.25"/>
    <row r="3325" ht="18" customHeight="1" x14ac:dyDescent="0.25"/>
    <row r="3326" ht="18" customHeight="1" x14ac:dyDescent="0.25"/>
    <row r="3327" ht="18" customHeight="1" x14ac:dyDescent="0.25"/>
    <row r="3328" ht="18" customHeight="1" x14ac:dyDescent="0.25"/>
    <row r="3329" ht="18" customHeight="1" x14ac:dyDescent="0.25"/>
    <row r="3330" ht="18" customHeight="1" x14ac:dyDescent="0.25"/>
    <row r="3331" ht="18" customHeight="1" x14ac:dyDescent="0.25"/>
    <row r="3332" ht="18" customHeight="1" x14ac:dyDescent="0.25"/>
    <row r="3333" ht="18" customHeight="1" x14ac:dyDescent="0.25"/>
    <row r="3334" ht="18" customHeight="1" x14ac:dyDescent="0.25"/>
    <row r="3335" ht="18" customHeight="1" x14ac:dyDescent="0.25"/>
    <row r="3336" ht="18" customHeight="1" x14ac:dyDescent="0.25"/>
    <row r="3337" ht="18" customHeight="1" x14ac:dyDescent="0.25"/>
    <row r="3338" ht="18" customHeight="1" x14ac:dyDescent="0.25"/>
    <row r="3339" ht="18" customHeight="1" x14ac:dyDescent="0.25"/>
    <row r="3340" ht="18" customHeight="1" x14ac:dyDescent="0.25"/>
    <row r="3341" ht="18" customHeight="1" x14ac:dyDescent="0.25"/>
    <row r="3342" ht="18" customHeight="1" x14ac:dyDescent="0.25"/>
    <row r="3343" ht="18" customHeight="1" x14ac:dyDescent="0.25"/>
    <row r="3344" ht="18" customHeight="1" x14ac:dyDescent="0.25"/>
    <row r="3345" ht="18" customHeight="1" x14ac:dyDescent="0.25"/>
    <row r="3346" ht="18" customHeight="1" x14ac:dyDescent="0.25"/>
    <row r="3347" ht="18" customHeight="1" x14ac:dyDescent="0.25"/>
    <row r="3348" ht="18" customHeight="1" x14ac:dyDescent="0.25"/>
    <row r="3349" ht="18" customHeight="1" x14ac:dyDescent="0.25"/>
    <row r="3350" ht="18" customHeight="1" x14ac:dyDescent="0.25"/>
    <row r="3351" ht="18" customHeight="1" x14ac:dyDescent="0.25"/>
    <row r="3352" ht="18" customHeight="1" x14ac:dyDescent="0.25"/>
    <row r="3353" ht="18" customHeight="1" x14ac:dyDescent="0.25"/>
    <row r="3354" ht="18" customHeight="1" x14ac:dyDescent="0.25"/>
    <row r="3355" ht="18" customHeight="1" x14ac:dyDescent="0.25"/>
    <row r="3356" ht="18" customHeight="1" x14ac:dyDescent="0.25"/>
    <row r="3357" ht="18" customHeight="1" x14ac:dyDescent="0.25"/>
    <row r="3358" ht="18" customHeight="1" x14ac:dyDescent="0.25"/>
    <row r="3359" ht="18" customHeight="1" x14ac:dyDescent="0.25"/>
    <row r="3360" ht="18" customHeight="1" x14ac:dyDescent="0.25"/>
    <row r="3361" ht="18" customHeight="1" x14ac:dyDescent="0.25"/>
    <row r="3362" ht="18" customHeight="1" x14ac:dyDescent="0.25"/>
    <row r="3363" ht="18" customHeight="1" x14ac:dyDescent="0.25"/>
    <row r="3364" ht="18" customHeight="1" x14ac:dyDescent="0.25"/>
    <row r="3365" ht="18" customHeight="1" x14ac:dyDescent="0.25"/>
    <row r="3366" ht="18" customHeight="1" x14ac:dyDescent="0.25"/>
    <row r="3367" ht="18" customHeight="1" x14ac:dyDescent="0.25"/>
    <row r="3368" ht="18" customHeight="1" x14ac:dyDescent="0.25"/>
    <row r="3369" ht="18" customHeight="1" x14ac:dyDescent="0.25"/>
    <row r="3370" ht="18" customHeight="1" x14ac:dyDescent="0.25"/>
    <row r="3371" ht="18" customHeight="1" x14ac:dyDescent="0.25"/>
    <row r="3372" ht="18" customHeight="1" x14ac:dyDescent="0.25"/>
    <row r="3373" ht="18" customHeight="1" x14ac:dyDescent="0.25"/>
    <row r="3374" ht="18" customHeight="1" x14ac:dyDescent="0.25"/>
    <row r="3375" ht="18" customHeight="1" x14ac:dyDescent="0.25"/>
    <row r="3376" ht="18" customHeight="1" x14ac:dyDescent="0.25"/>
    <row r="3377" ht="18" customHeight="1" x14ac:dyDescent="0.25"/>
    <row r="3378" ht="18" customHeight="1" x14ac:dyDescent="0.25"/>
    <row r="3379" ht="18" customHeight="1" x14ac:dyDescent="0.25"/>
    <row r="3380" ht="18" customHeight="1" x14ac:dyDescent="0.25"/>
    <row r="3381" ht="18" customHeight="1" x14ac:dyDescent="0.25"/>
    <row r="3382" ht="18" customHeight="1" x14ac:dyDescent="0.25"/>
    <row r="3383" ht="18" customHeight="1" x14ac:dyDescent="0.25"/>
    <row r="3384" ht="18" customHeight="1" x14ac:dyDescent="0.25"/>
    <row r="3385" ht="18" customHeight="1" x14ac:dyDescent="0.25"/>
    <row r="3386" ht="18" customHeight="1" x14ac:dyDescent="0.25"/>
    <row r="3387" ht="18" customHeight="1" x14ac:dyDescent="0.25"/>
    <row r="3388" ht="18" customHeight="1" x14ac:dyDescent="0.25"/>
    <row r="3389" ht="18" customHeight="1" x14ac:dyDescent="0.25"/>
    <row r="3390" ht="18" customHeight="1" x14ac:dyDescent="0.25"/>
    <row r="3391" ht="18" customHeight="1" x14ac:dyDescent="0.25"/>
    <row r="3392" ht="18" customHeight="1" x14ac:dyDescent="0.25"/>
    <row r="3393" ht="18" customHeight="1" x14ac:dyDescent="0.25"/>
    <row r="3394" ht="18" customHeight="1" x14ac:dyDescent="0.25"/>
    <row r="3395" ht="18" customHeight="1" x14ac:dyDescent="0.25"/>
    <row r="3396" ht="18" customHeight="1" x14ac:dyDescent="0.25"/>
    <row r="3397" ht="18" customHeight="1" x14ac:dyDescent="0.25"/>
    <row r="3398" ht="18" customHeight="1" x14ac:dyDescent="0.25"/>
    <row r="3399" ht="18" customHeight="1" x14ac:dyDescent="0.25"/>
    <row r="3400" ht="18" customHeight="1" x14ac:dyDescent="0.25"/>
    <row r="3401" ht="18" customHeight="1" x14ac:dyDescent="0.25"/>
    <row r="3402" ht="18" customHeight="1" x14ac:dyDescent="0.25"/>
    <row r="3403" ht="18" customHeight="1" x14ac:dyDescent="0.25"/>
    <row r="3404" ht="18" customHeight="1" x14ac:dyDescent="0.25"/>
    <row r="3405" ht="18" customHeight="1" x14ac:dyDescent="0.25"/>
    <row r="3406" ht="18" customHeight="1" x14ac:dyDescent="0.25"/>
    <row r="3407" ht="18" customHeight="1" x14ac:dyDescent="0.25"/>
    <row r="3408" ht="18" customHeight="1" x14ac:dyDescent="0.25"/>
    <row r="3409" ht="18" customHeight="1" x14ac:dyDescent="0.25"/>
    <row r="3410" ht="18" customHeight="1" x14ac:dyDescent="0.25"/>
    <row r="3411" ht="18" customHeight="1" x14ac:dyDescent="0.25"/>
    <row r="3412" ht="18" customHeight="1" x14ac:dyDescent="0.25"/>
    <row r="3413" ht="18" customHeight="1" x14ac:dyDescent="0.25"/>
    <row r="3414" ht="18" customHeight="1" x14ac:dyDescent="0.25"/>
    <row r="3415" ht="18" customHeight="1" x14ac:dyDescent="0.25"/>
    <row r="3416" ht="18" customHeight="1" x14ac:dyDescent="0.25"/>
    <row r="3417" ht="18" customHeight="1" x14ac:dyDescent="0.25"/>
    <row r="3418" ht="18" customHeight="1" x14ac:dyDescent="0.25"/>
    <row r="3419" ht="18" customHeight="1" x14ac:dyDescent="0.25"/>
    <row r="3420" ht="18" customHeight="1" x14ac:dyDescent="0.25"/>
    <row r="3421" ht="18" customHeight="1" x14ac:dyDescent="0.25"/>
    <row r="3422" ht="18" customHeight="1" x14ac:dyDescent="0.25"/>
    <row r="3423" ht="18" customHeight="1" x14ac:dyDescent="0.25"/>
    <row r="3424" ht="18" customHeight="1" x14ac:dyDescent="0.25"/>
    <row r="3425" ht="18" customHeight="1" x14ac:dyDescent="0.25"/>
    <row r="3426" ht="18" customHeight="1" x14ac:dyDescent="0.25"/>
    <row r="3427" ht="18" customHeight="1" x14ac:dyDescent="0.25"/>
    <row r="3428" ht="18" customHeight="1" x14ac:dyDescent="0.25"/>
    <row r="3429" ht="18" customHeight="1" x14ac:dyDescent="0.25"/>
    <row r="3430" ht="18" customHeight="1" x14ac:dyDescent="0.25"/>
    <row r="3431" ht="18" customHeight="1" x14ac:dyDescent="0.25"/>
    <row r="3432" ht="18" customHeight="1" x14ac:dyDescent="0.25"/>
    <row r="3433" ht="18" customHeight="1" x14ac:dyDescent="0.25"/>
    <row r="3434" ht="18" customHeight="1" x14ac:dyDescent="0.25"/>
    <row r="3435" ht="18" customHeight="1" x14ac:dyDescent="0.25"/>
    <row r="3436" ht="18" customHeight="1" x14ac:dyDescent="0.25"/>
    <row r="3437" ht="18" customHeight="1" x14ac:dyDescent="0.25"/>
    <row r="3438" ht="18" customHeight="1" x14ac:dyDescent="0.25"/>
    <row r="3439" ht="18" customHeight="1" x14ac:dyDescent="0.25"/>
    <row r="3440" ht="18" customHeight="1" x14ac:dyDescent="0.25"/>
    <row r="3441" ht="18" customHeight="1" x14ac:dyDescent="0.25"/>
    <row r="3442" ht="18" customHeight="1" x14ac:dyDescent="0.25"/>
    <row r="3443" ht="18" customHeight="1" x14ac:dyDescent="0.25"/>
    <row r="3444" ht="18" customHeight="1" x14ac:dyDescent="0.25"/>
    <row r="3445" ht="18" customHeight="1" x14ac:dyDescent="0.25"/>
    <row r="3446" ht="18" customHeight="1" x14ac:dyDescent="0.25"/>
    <row r="3447" ht="18" customHeight="1" x14ac:dyDescent="0.25"/>
    <row r="3448" ht="18" customHeight="1" x14ac:dyDescent="0.25"/>
    <row r="3449" ht="18" customHeight="1" x14ac:dyDescent="0.25"/>
    <row r="3450" ht="18" customHeight="1" x14ac:dyDescent="0.25"/>
    <row r="3451" ht="18" customHeight="1" x14ac:dyDescent="0.25"/>
    <row r="3452" ht="18" customHeight="1" x14ac:dyDescent="0.25"/>
    <row r="3453" ht="18" customHeight="1" x14ac:dyDescent="0.25"/>
    <row r="3454" ht="18" customHeight="1" x14ac:dyDescent="0.25"/>
    <row r="3455" ht="18" customHeight="1" x14ac:dyDescent="0.25"/>
    <row r="3456" ht="18" customHeight="1" x14ac:dyDescent="0.25"/>
    <row r="3457" ht="18" customHeight="1" x14ac:dyDescent="0.25"/>
    <row r="3458" ht="18" customHeight="1" x14ac:dyDescent="0.25"/>
    <row r="3459" ht="18" customHeight="1" x14ac:dyDescent="0.25"/>
    <row r="3460" ht="18" customHeight="1" x14ac:dyDescent="0.25"/>
    <row r="3461" ht="18" customHeight="1" x14ac:dyDescent="0.25"/>
    <row r="3462" ht="18" customHeight="1" x14ac:dyDescent="0.25"/>
    <row r="3463" ht="18" customHeight="1" x14ac:dyDescent="0.25"/>
    <row r="3464" ht="18" customHeight="1" x14ac:dyDescent="0.25"/>
    <row r="3465" ht="18" customHeight="1" x14ac:dyDescent="0.25"/>
    <row r="3466" ht="18" customHeight="1" x14ac:dyDescent="0.25"/>
    <row r="3467" ht="18" customHeight="1" x14ac:dyDescent="0.25"/>
    <row r="3468" ht="18" customHeight="1" x14ac:dyDescent="0.25"/>
    <row r="3469" ht="18" customHeight="1" x14ac:dyDescent="0.25"/>
    <row r="3470" ht="18" customHeight="1" x14ac:dyDescent="0.25"/>
    <row r="3471" ht="18" customHeight="1" x14ac:dyDescent="0.25"/>
    <row r="3472" ht="18" customHeight="1" x14ac:dyDescent="0.25"/>
    <row r="3473" ht="18" customHeight="1" x14ac:dyDescent="0.25"/>
    <row r="3474" ht="18" customHeight="1" x14ac:dyDescent="0.25"/>
    <row r="3475" ht="18" customHeight="1" x14ac:dyDescent="0.25"/>
    <row r="3476" ht="18" customHeight="1" x14ac:dyDescent="0.25"/>
    <row r="3477" ht="18" customHeight="1" x14ac:dyDescent="0.25"/>
    <row r="3478" ht="18" customHeight="1" x14ac:dyDescent="0.25"/>
    <row r="3479" ht="18" customHeight="1" x14ac:dyDescent="0.25"/>
    <row r="3480" ht="18" customHeight="1" x14ac:dyDescent="0.25"/>
    <row r="3481" ht="18" customHeight="1" x14ac:dyDescent="0.25"/>
    <row r="3482" ht="18" customHeight="1" x14ac:dyDescent="0.25"/>
    <row r="3483" ht="18" customHeight="1" x14ac:dyDescent="0.25"/>
    <row r="3484" ht="18" customHeight="1" x14ac:dyDescent="0.25"/>
    <row r="3485" ht="18" customHeight="1" x14ac:dyDescent="0.25"/>
    <row r="3486" ht="18" customHeight="1" x14ac:dyDescent="0.25"/>
    <row r="3487" ht="18" customHeight="1" x14ac:dyDescent="0.25"/>
    <row r="3488" ht="18" customHeight="1" x14ac:dyDescent="0.25"/>
    <row r="3489" ht="18" customHeight="1" x14ac:dyDescent="0.25"/>
    <row r="3490" ht="18" customHeight="1" x14ac:dyDescent="0.25"/>
    <row r="3491" ht="18" customHeight="1" x14ac:dyDescent="0.25"/>
    <row r="3492" ht="18" customHeight="1" x14ac:dyDescent="0.25"/>
    <row r="3493" ht="18" customHeight="1" x14ac:dyDescent="0.25"/>
    <row r="3494" ht="18" customHeight="1" x14ac:dyDescent="0.25"/>
    <row r="3495" ht="18" customHeight="1" x14ac:dyDescent="0.25"/>
    <row r="3496" ht="18" customHeight="1" x14ac:dyDescent="0.25"/>
    <row r="3497" ht="18" customHeight="1" x14ac:dyDescent="0.25"/>
    <row r="3498" ht="18" customHeight="1" x14ac:dyDescent="0.25"/>
    <row r="3499" ht="18" customHeight="1" x14ac:dyDescent="0.25"/>
    <row r="3500" ht="18" customHeight="1" x14ac:dyDescent="0.25"/>
    <row r="3501" ht="18" customHeight="1" x14ac:dyDescent="0.25"/>
    <row r="3502" ht="18" customHeight="1" x14ac:dyDescent="0.25"/>
    <row r="3503" ht="18" customHeight="1" x14ac:dyDescent="0.25"/>
    <row r="3504" ht="18" customHeight="1" x14ac:dyDescent="0.25"/>
    <row r="3505" ht="18" customHeight="1" x14ac:dyDescent="0.25"/>
    <row r="3506" ht="18" customHeight="1" x14ac:dyDescent="0.25"/>
    <row r="3507" ht="18" customHeight="1" x14ac:dyDescent="0.25"/>
    <row r="3508" ht="18" customHeight="1" x14ac:dyDescent="0.25"/>
    <row r="3509" ht="18" customHeight="1" x14ac:dyDescent="0.25"/>
    <row r="3510" ht="18" customHeight="1" x14ac:dyDescent="0.25"/>
    <row r="3511" ht="18" customHeight="1" x14ac:dyDescent="0.25"/>
    <row r="3512" ht="18" customHeight="1" x14ac:dyDescent="0.25"/>
    <row r="3513" ht="18" customHeight="1" x14ac:dyDescent="0.25"/>
    <row r="3514" ht="18" customHeight="1" x14ac:dyDescent="0.25"/>
    <row r="3515" ht="18" customHeight="1" x14ac:dyDescent="0.25"/>
    <row r="3516" ht="18" customHeight="1" x14ac:dyDescent="0.25"/>
    <row r="3517" ht="18" customHeight="1" x14ac:dyDescent="0.25"/>
    <row r="3518" ht="18" customHeight="1" x14ac:dyDescent="0.25"/>
    <row r="3519" ht="18" customHeight="1" x14ac:dyDescent="0.25"/>
    <row r="3520" ht="18" customHeight="1" x14ac:dyDescent="0.25"/>
    <row r="3521" ht="18" customHeight="1" x14ac:dyDescent="0.25"/>
    <row r="3522" ht="18" customHeight="1" x14ac:dyDescent="0.25"/>
    <row r="3523" ht="18" customHeight="1" x14ac:dyDescent="0.25"/>
    <row r="3524" ht="18" customHeight="1" x14ac:dyDescent="0.25"/>
    <row r="3525" ht="18" customHeight="1" x14ac:dyDescent="0.25"/>
    <row r="3526" ht="18" customHeight="1" x14ac:dyDescent="0.25"/>
    <row r="3527" ht="18" customHeight="1" x14ac:dyDescent="0.25"/>
    <row r="3528" ht="18" customHeight="1" x14ac:dyDescent="0.25"/>
    <row r="3529" ht="18" customHeight="1" x14ac:dyDescent="0.25"/>
    <row r="3530" ht="18" customHeight="1" x14ac:dyDescent="0.25"/>
    <row r="3531" ht="18" customHeight="1" x14ac:dyDescent="0.25"/>
    <row r="3532" ht="18" customHeight="1" x14ac:dyDescent="0.25"/>
    <row r="3533" ht="18" customHeight="1" x14ac:dyDescent="0.25"/>
    <row r="3534" ht="18" customHeight="1" x14ac:dyDescent="0.25"/>
    <row r="3535" ht="18" customHeight="1" x14ac:dyDescent="0.25"/>
    <row r="3536" ht="18" customHeight="1" x14ac:dyDescent="0.25"/>
    <row r="3537" ht="18" customHeight="1" x14ac:dyDescent="0.25"/>
    <row r="3538" ht="18" customHeight="1" x14ac:dyDescent="0.25"/>
    <row r="3539" ht="18" customHeight="1" x14ac:dyDescent="0.25"/>
    <row r="3540" ht="18" customHeight="1" x14ac:dyDescent="0.25"/>
    <row r="3541" ht="18" customHeight="1" x14ac:dyDescent="0.25"/>
    <row r="3542" ht="18" customHeight="1" x14ac:dyDescent="0.25"/>
    <row r="3543" ht="18" customHeight="1" x14ac:dyDescent="0.25"/>
    <row r="3544" ht="18" customHeight="1" x14ac:dyDescent="0.25"/>
    <row r="3545" ht="18" customHeight="1" x14ac:dyDescent="0.25"/>
    <row r="3546" ht="18" customHeight="1" x14ac:dyDescent="0.25"/>
    <row r="3547" ht="18" customHeight="1" x14ac:dyDescent="0.25"/>
    <row r="3548" ht="18" customHeight="1" x14ac:dyDescent="0.25"/>
    <row r="3549" ht="18" customHeight="1" x14ac:dyDescent="0.25"/>
    <row r="3550" ht="18" customHeight="1" x14ac:dyDescent="0.25"/>
    <row r="3551" ht="18" customHeight="1" x14ac:dyDescent="0.25"/>
    <row r="3552" ht="18" customHeight="1" x14ac:dyDescent="0.25"/>
    <row r="3553" ht="18" customHeight="1" x14ac:dyDescent="0.25"/>
    <row r="3554" ht="18" customHeight="1" x14ac:dyDescent="0.25"/>
    <row r="3555" ht="18" customHeight="1" x14ac:dyDescent="0.25"/>
    <row r="3556" ht="18" customHeight="1" x14ac:dyDescent="0.25"/>
    <row r="3557" ht="18" customHeight="1" x14ac:dyDescent="0.25"/>
    <row r="3558" ht="18" customHeight="1" x14ac:dyDescent="0.25"/>
    <row r="3559" ht="18" customHeight="1" x14ac:dyDescent="0.25"/>
    <row r="3560" ht="18" customHeight="1" x14ac:dyDescent="0.25"/>
    <row r="3561" ht="18" customHeight="1" x14ac:dyDescent="0.25"/>
    <row r="3562" ht="18" customHeight="1" x14ac:dyDescent="0.25"/>
    <row r="3563" ht="18" customHeight="1" x14ac:dyDescent="0.25"/>
    <row r="3564" ht="18" customHeight="1" x14ac:dyDescent="0.25"/>
    <row r="3565" ht="18" customHeight="1" x14ac:dyDescent="0.25"/>
    <row r="3566" ht="18" customHeight="1" x14ac:dyDescent="0.25"/>
    <row r="3567" ht="18" customHeight="1" x14ac:dyDescent="0.25"/>
    <row r="3568" ht="18" customHeight="1" x14ac:dyDescent="0.25"/>
    <row r="3569" ht="18" customHeight="1" x14ac:dyDescent="0.25"/>
    <row r="3570" ht="18" customHeight="1" x14ac:dyDescent="0.25"/>
    <row r="3571" ht="18" customHeight="1" x14ac:dyDescent="0.25"/>
    <row r="3572" ht="18" customHeight="1" x14ac:dyDescent="0.25"/>
    <row r="3573" ht="18" customHeight="1" x14ac:dyDescent="0.25"/>
    <row r="3574" ht="18" customHeight="1" x14ac:dyDescent="0.25"/>
    <row r="3575" ht="18" customHeight="1" x14ac:dyDescent="0.25"/>
    <row r="3576" ht="18" customHeight="1" x14ac:dyDescent="0.25"/>
    <row r="3577" ht="18" customHeight="1" x14ac:dyDescent="0.25"/>
    <row r="3578" ht="18" customHeight="1" x14ac:dyDescent="0.25"/>
    <row r="3579" ht="18" customHeight="1" x14ac:dyDescent="0.25"/>
    <row r="3580" ht="18" customHeight="1" x14ac:dyDescent="0.25"/>
    <row r="3581" ht="18" customHeight="1" x14ac:dyDescent="0.25"/>
    <row r="3582" ht="18" customHeight="1" x14ac:dyDescent="0.25"/>
    <row r="3583" ht="18" customHeight="1" x14ac:dyDescent="0.25"/>
    <row r="3584" ht="18" customHeight="1" x14ac:dyDescent="0.25"/>
    <row r="3585" ht="18" customHeight="1" x14ac:dyDescent="0.25"/>
    <row r="3586" ht="18" customHeight="1" x14ac:dyDescent="0.25"/>
    <row r="3587" ht="18" customHeight="1" x14ac:dyDescent="0.25"/>
    <row r="3588" ht="18" customHeight="1" x14ac:dyDescent="0.25"/>
    <row r="3589" ht="18" customHeight="1" x14ac:dyDescent="0.25"/>
    <row r="3590" ht="18" customHeight="1" x14ac:dyDescent="0.25"/>
    <row r="3591" ht="18" customHeight="1" x14ac:dyDescent="0.25"/>
    <row r="3592" ht="18" customHeight="1" x14ac:dyDescent="0.25"/>
    <row r="3593" ht="18" customHeight="1" x14ac:dyDescent="0.25"/>
    <row r="3594" ht="18" customHeight="1" x14ac:dyDescent="0.25"/>
    <row r="3595" ht="18" customHeight="1" x14ac:dyDescent="0.25"/>
    <row r="3596" ht="18" customHeight="1" x14ac:dyDescent="0.25"/>
    <row r="3597" ht="18" customHeight="1" x14ac:dyDescent="0.25"/>
    <row r="3598" ht="18" customHeight="1" x14ac:dyDescent="0.25"/>
    <row r="3599" ht="18" customHeight="1" x14ac:dyDescent="0.25"/>
    <row r="3600" ht="18" customHeight="1" x14ac:dyDescent="0.25"/>
    <row r="3601" ht="18" customHeight="1" x14ac:dyDescent="0.25"/>
    <row r="3602" ht="18" customHeight="1" x14ac:dyDescent="0.25"/>
    <row r="3603" ht="18" customHeight="1" x14ac:dyDescent="0.25"/>
    <row r="3604" ht="18" customHeight="1" x14ac:dyDescent="0.25"/>
    <row r="3605" ht="18" customHeight="1" x14ac:dyDescent="0.25"/>
    <row r="3606" ht="18" customHeight="1" x14ac:dyDescent="0.25"/>
    <row r="3607" ht="18" customHeight="1" x14ac:dyDescent="0.25"/>
    <row r="3608" ht="18" customHeight="1" x14ac:dyDescent="0.25"/>
    <row r="3609" ht="18" customHeight="1" x14ac:dyDescent="0.25"/>
    <row r="3610" ht="18" customHeight="1" x14ac:dyDescent="0.25"/>
    <row r="3611" ht="18" customHeight="1" x14ac:dyDescent="0.25"/>
    <row r="3612" ht="18" customHeight="1" x14ac:dyDescent="0.25"/>
    <row r="3613" ht="18" customHeight="1" x14ac:dyDescent="0.25"/>
    <row r="3614" ht="18" customHeight="1" x14ac:dyDescent="0.25"/>
    <row r="3615" ht="18" customHeight="1" x14ac:dyDescent="0.25"/>
    <row r="3616" ht="18" customHeight="1" x14ac:dyDescent="0.25"/>
    <row r="3617" ht="18" customHeight="1" x14ac:dyDescent="0.25"/>
    <row r="3618" ht="18" customHeight="1" x14ac:dyDescent="0.25"/>
    <row r="3619" ht="18" customHeight="1" x14ac:dyDescent="0.25"/>
    <row r="3620" ht="18" customHeight="1" x14ac:dyDescent="0.25"/>
    <row r="3621" ht="18" customHeight="1" x14ac:dyDescent="0.25"/>
    <row r="3622" ht="18" customHeight="1" x14ac:dyDescent="0.25"/>
    <row r="3623" ht="18" customHeight="1" x14ac:dyDescent="0.25"/>
    <row r="3624" ht="18" customHeight="1" x14ac:dyDescent="0.25"/>
    <row r="3625" ht="18" customHeight="1" x14ac:dyDescent="0.25"/>
    <row r="3626" ht="18" customHeight="1" x14ac:dyDescent="0.25"/>
    <row r="3627" ht="18" customHeight="1" x14ac:dyDescent="0.25"/>
    <row r="3628" ht="18" customHeight="1" x14ac:dyDescent="0.25"/>
    <row r="3629" ht="18" customHeight="1" x14ac:dyDescent="0.25"/>
    <row r="3630" ht="18" customHeight="1" x14ac:dyDescent="0.25"/>
    <row r="3631" ht="18" customHeight="1" x14ac:dyDescent="0.25"/>
    <row r="3632" ht="18" customHeight="1" x14ac:dyDescent="0.25"/>
    <row r="3633" ht="18" customHeight="1" x14ac:dyDescent="0.25"/>
    <row r="3634" ht="18" customHeight="1" x14ac:dyDescent="0.25"/>
    <row r="3635" ht="18" customHeight="1" x14ac:dyDescent="0.25"/>
    <row r="3636" ht="18" customHeight="1" x14ac:dyDescent="0.25"/>
    <row r="3637" ht="18" customHeight="1" x14ac:dyDescent="0.25"/>
    <row r="3638" ht="18" customHeight="1" x14ac:dyDescent="0.25"/>
    <row r="3639" ht="18" customHeight="1" x14ac:dyDescent="0.25"/>
    <row r="3640" ht="18" customHeight="1" x14ac:dyDescent="0.25"/>
    <row r="3641" ht="18" customHeight="1" x14ac:dyDescent="0.25"/>
    <row r="3642" ht="18" customHeight="1" x14ac:dyDescent="0.25"/>
    <row r="3643" ht="18" customHeight="1" x14ac:dyDescent="0.25"/>
    <row r="3644" ht="18" customHeight="1" x14ac:dyDescent="0.25"/>
    <row r="3645" ht="18" customHeight="1" x14ac:dyDescent="0.25"/>
    <row r="3646" ht="18" customHeight="1" x14ac:dyDescent="0.25"/>
    <row r="3647" ht="18" customHeight="1" x14ac:dyDescent="0.25"/>
    <row r="3648" ht="18" customHeight="1" x14ac:dyDescent="0.25"/>
    <row r="3649" ht="18" customHeight="1" x14ac:dyDescent="0.25"/>
    <row r="3650" ht="18" customHeight="1" x14ac:dyDescent="0.25"/>
    <row r="3651" ht="18" customHeight="1" x14ac:dyDescent="0.25"/>
    <row r="3652" ht="18" customHeight="1" x14ac:dyDescent="0.25"/>
    <row r="3653" ht="18" customHeight="1" x14ac:dyDescent="0.25"/>
    <row r="3654" ht="18" customHeight="1" x14ac:dyDescent="0.25"/>
    <row r="3655" ht="18" customHeight="1" x14ac:dyDescent="0.25"/>
    <row r="3656" ht="18" customHeight="1" x14ac:dyDescent="0.25"/>
    <row r="3657" ht="18" customHeight="1" x14ac:dyDescent="0.25"/>
    <row r="3658" ht="18" customHeight="1" x14ac:dyDescent="0.25"/>
    <row r="3659" ht="18" customHeight="1" x14ac:dyDescent="0.25"/>
    <row r="3660" ht="18" customHeight="1" x14ac:dyDescent="0.25"/>
    <row r="3661" ht="18" customHeight="1" x14ac:dyDescent="0.25"/>
    <row r="3662" ht="18" customHeight="1" x14ac:dyDescent="0.25"/>
    <row r="3663" ht="18" customHeight="1" x14ac:dyDescent="0.25"/>
    <row r="3664" ht="18" customHeight="1" x14ac:dyDescent="0.25"/>
    <row r="3665" ht="18" customHeight="1" x14ac:dyDescent="0.25"/>
    <row r="3666" ht="18" customHeight="1" x14ac:dyDescent="0.25"/>
    <row r="3667" ht="18" customHeight="1" x14ac:dyDescent="0.25"/>
    <row r="3668" ht="18" customHeight="1" x14ac:dyDescent="0.25"/>
    <row r="3669" ht="18" customHeight="1" x14ac:dyDescent="0.25"/>
    <row r="3670" ht="18" customHeight="1" x14ac:dyDescent="0.25"/>
    <row r="3671" ht="18" customHeight="1" x14ac:dyDescent="0.25"/>
    <row r="3672" ht="18" customHeight="1" x14ac:dyDescent="0.25"/>
    <row r="3673" ht="18" customHeight="1" x14ac:dyDescent="0.25"/>
    <row r="3674" ht="18" customHeight="1" x14ac:dyDescent="0.25"/>
    <row r="3675" ht="18" customHeight="1" x14ac:dyDescent="0.25"/>
    <row r="3676" ht="18" customHeight="1" x14ac:dyDescent="0.25"/>
    <row r="3677" ht="18" customHeight="1" x14ac:dyDescent="0.25"/>
    <row r="3678" ht="18" customHeight="1" x14ac:dyDescent="0.25"/>
    <row r="3679" ht="18" customHeight="1" x14ac:dyDescent="0.25"/>
    <row r="3680" ht="18" customHeight="1" x14ac:dyDescent="0.25"/>
    <row r="3681" ht="18" customHeight="1" x14ac:dyDescent="0.25"/>
    <row r="3682" ht="18" customHeight="1" x14ac:dyDescent="0.25"/>
    <row r="3683" ht="18" customHeight="1" x14ac:dyDescent="0.25"/>
    <row r="3684" ht="18" customHeight="1" x14ac:dyDescent="0.25"/>
    <row r="3685" ht="18" customHeight="1" x14ac:dyDescent="0.25"/>
    <row r="3686" ht="18" customHeight="1" x14ac:dyDescent="0.25"/>
    <row r="3687" ht="18" customHeight="1" x14ac:dyDescent="0.25"/>
    <row r="3688" ht="18" customHeight="1" x14ac:dyDescent="0.25"/>
    <row r="3689" ht="18" customHeight="1" x14ac:dyDescent="0.25"/>
    <row r="3690" ht="18" customHeight="1" x14ac:dyDescent="0.25"/>
    <row r="3691" ht="18" customHeight="1" x14ac:dyDescent="0.25"/>
    <row r="3692" ht="18" customHeight="1" x14ac:dyDescent="0.25"/>
    <row r="3693" ht="18" customHeight="1" x14ac:dyDescent="0.25"/>
    <row r="3694" ht="18" customHeight="1" x14ac:dyDescent="0.25"/>
    <row r="3695" ht="18" customHeight="1" x14ac:dyDescent="0.25"/>
    <row r="3696" ht="18" customHeight="1" x14ac:dyDescent="0.25"/>
    <row r="3697" ht="18" customHeight="1" x14ac:dyDescent="0.25"/>
    <row r="3698" ht="18" customHeight="1" x14ac:dyDescent="0.25"/>
    <row r="3699" ht="18" customHeight="1" x14ac:dyDescent="0.25"/>
    <row r="3700" ht="18" customHeight="1" x14ac:dyDescent="0.25"/>
    <row r="3701" ht="18" customHeight="1" x14ac:dyDescent="0.25"/>
    <row r="3702" ht="18" customHeight="1" x14ac:dyDescent="0.25"/>
    <row r="3703" ht="18" customHeight="1" x14ac:dyDescent="0.25"/>
    <row r="3704" ht="18" customHeight="1" x14ac:dyDescent="0.25"/>
    <row r="3705" ht="18" customHeight="1" x14ac:dyDescent="0.25"/>
    <row r="3706" ht="18" customHeight="1" x14ac:dyDescent="0.25"/>
    <row r="3707" ht="18" customHeight="1" x14ac:dyDescent="0.25"/>
    <row r="3708" ht="18" customHeight="1" x14ac:dyDescent="0.25"/>
    <row r="3709" ht="18" customHeight="1" x14ac:dyDescent="0.25"/>
    <row r="3710" ht="18" customHeight="1" x14ac:dyDescent="0.25"/>
    <row r="3711" ht="18" customHeight="1" x14ac:dyDescent="0.25"/>
    <row r="3712" ht="18" customHeight="1" x14ac:dyDescent="0.25"/>
    <row r="3713" ht="18" customHeight="1" x14ac:dyDescent="0.25"/>
    <row r="3714" ht="18" customHeight="1" x14ac:dyDescent="0.25"/>
    <row r="3715" ht="18" customHeight="1" x14ac:dyDescent="0.25"/>
    <row r="3716" ht="18" customHeight="1" x14ac:dyDescent="0.25"/>
    <row r="3717" ht="18" customHeight="1" x14ac:dyDescent="0.25"/>
    <row r="3718" ht="18" customHeight="1" x14ac:dyDescent="0.25"/>
    <row r="3719" ht="18" customHeight="1" x14ac:dyDescent="0.25"/>
    <row r="3720" ht="18" customHeight="1" x14ac:dyDescent="0.25"/>
    <row r="3721" ht="18" customHeight="1" x14ac:dyDescent="0.25"/>
    <row r="3722" ht="18" customHeight="1" x14ac:dyDescent="0.25"/>
    <row r="3723" ht="18" customHeight="1" x14ac:dyDescent="0.25"/>
    <row r="3724" ht="18" customHeight="1" x14ac:dyDescent="0.25"/>
    <row r="3725" ht="18" customHeight="1" x14ac:dyDescent="0.25"/>
    <row r="3726" ht="18" customHeight="1" x14ac:dyDescent="0.25"/>
    <row r="3727" ht="18" customHeight="1" x14ac:dyDescent="0.25"/>
    <row r="3728" ht="18" customHeight="1" x14ac:dyDescent="0.25"/>
    <row r="3729" ht="18" customHeight="1" x14ac:dyDescent="0.25"/>
    <row r="3730" ht="18" customHeight="1" x14ac:dyDescent="0.25"/>
    <row r="3731" ht="18" customHeight="1" x14ac:dyDescent="0.25"/>
    <row r="3732" ht="18" customHeight="1" x14ac:dyDescent="0.25"/>
    <row r="3733" ht="18" customHeight="1" x14ac:dyDescent="0.25"/>
    <row r="3734" ht="18" customHeight="1" x14ac:dyDescent="0.25"/>
    <row r="3735" ht="18" customHeight="1" x14ac:dyDescent="0.25"/>
    <row r="3736" ht="18" customHeight="1" x14ac:dyDescent="0.25"/>
    <row r="3737" ht="18" customHeight="1" x14ac:dyDescent="0.25"/>
    <row r="3738" ht="18" customHeight="1" x14ac:dyDescent="0.25"/>
    <row r="3739" ht="18" customHeight="1" x14ac:dyDescent="0.25"/>
    <row r="3740" ht="18" customHeight="1" x14ac:dyDescent="0.25"/>
    <row r="3741" ht="18" customHeight="1" x14ac:dyDescent="0.25"/>
    <row r="3742" ht="18" customHeight="1" x14ac:dyDescent="0.25"/>
    <row r="3743" ht="18" customHeight="1" x14ac:dyDescent="0.25"/>
    <row r="3744" ht="18" customHeight="1" x14ac:dyDescent="0.25"/>
    <row r="3745" ht="18" customHeight="1" x14ac:dyDescent="0.25"/>
    <row r="3746" ht="18" customHeight="1" x14ac:dyDescent="0.25"/>
    <row r="3747" ht="18" customHeight="1" x14ac:dyDescent="0.25"/>
    <row r="3748" ht="18" customHeight="1" x14ac:dyDescent="0.25"/>
    <row r="3749" ht="18" customHeight="1" x14ac:dyDescent="0.25"/>
    <row r="3750" ht="18" customHeight="1" x14ac:dyDescent="0.25"/>
    <row r="3751" ht="18" customHeight="1" x14ac:dyDescent="0.25"/>
    <row r="3752" ht="18" customHeight="1" x14ac:dyDescent="0.25"/>
    <row r="3753" ht="18" customHeight="1" x14ac:dyDescent="0.25"/>
    <row r="3754" ht="18" customHeight="1" x14ac:dyDescent="0.25"/>
    <row r="3755" ht="18" customHeight="1" x14ac:dyDescent="0.25"/>
    <row r="3756" ht="18" customHeight="1" x14ac:dyDescent="0.25"/>
    <row r="3757" ht="18" customHeight="1" x14ac:dyDescent="0.25"/>
    <row r="3758" ht="18" customHeight="1" x14ac:dyDescent="0.25"/>
    <row r="3759" ht="18" customHeight="1" x14ac:dyDescent="0.25"/>
    <row r="3760" ht="18" customHeight="1" x14ac:dyDescent="0.25"/>
    <row r="3761" ht="18" customHeight="1" x14ac:dyDescent="0.25"/>
    <row r="3762" ht="18" customHeight="1" x14ac:dyDescent="0.25"/>
    <row r="3763" ht="18" customHeight="1" x14ac:dyDescent="0.25"/>
    <row r="3764" ht="18" customHeight="1" x14ac:dyDescent="0.25"/>
    <row r="3765" ht="18" customHeight="1" x14ac:dyDescent="0.25"/>
    <row r="3766" ht="18" customHeight="1" x14ac:dyDescent="0.25"/>
    <row r="3767" ht="18" customHeight="1" x14ac:dyDescent="0.25"/>
    <row r="3768" ht="18" customHeight="1" x14ac:dyDescent="0.25"/>
    <row r="3769" ht="18" customHeight="1" x14ac:dyDescent="0.25"/>
    <row r="3770" ht="18" customHeight="1" x14ac:dyDescent="0.25"/>
    <row r="3771" ht="18" customHeight="1" x14ac:dyDescent="0.25"/>
    <row r="3772" ht="18" customHeight="1" x14ac:dyDescent="0.25"/>
    <row r="3773" ht="18" customHeight="1" x14ac:dyDescent="0.25"/>
    <row r="3774" ht="18" customHeight="1" x14ac:dyDescent="0.25"/>
    <row r="3775" ht="18" customHeight="1" x14ac:dyDescent="0.25"/>
    <row r="3776" ht="18" customHeight="1" x14ac:dyDescent="0.25"/>
    <row r="3777" ht="18" customHeight="1" x14ac:dyDescent="0.25"/>
    <row r="3778" ht="18" customHeight="1" x14ac:dyDescent="0.25"/>
    <row r="3779" ht="18" customHeight="1" x14ac:dyDescent="0.25"/>
    <row r="3780" ht="18" customHeight="1" x14ac:dyDescent="0.25"/>
    <row r="3781" ht="18" customHeight="1" x14ac:dyDescent="0.25"/>
    <row r="3782" ht="18" customHeight="1" x14ac:dyDescent="0.25"/>
    <row r="3783" ht="18" customHeight="1" x14ac:dyDescent="0.25"/>
    <row r="3784" ht="18" customHeight="1" x14ac:dyDescent="0.25"/>
    <row r="3785" ht="18" customHeight="1" x14ac:dyDescent="0.25"/>
    <row r="3786" ht="18" customHeight="1" x14ac:dyDescent="0.25"/>
    <row r="3787" ht="18" customHeight="1" x14ac:dyDescent="0.25"/>
    <row r="3788" ht="18" customHeight="1" x14ac:dyDescent="0.25"/>
    <row r="3789" ht="18" customHeight="1" x14ac:dyDescent="0.25"/>
    <row r="3790" ht="18" customHeight="1" x14ac:dyDescent="0.25"/>
    <row r="3791" ht="18" customHeight="1" x14ac:dyDescent="0.25"/>
    <row r="3792" ht="18" customHeight="1" x14ac:dyDescent="0.25"/>
    <row r="3793" ht="18" customHeight="1" x14ac:dyDescent="0.25"/>
    <row r="3794" ht="18" customHeight="1" x14ac:dyDescent="0.25"/>
    <row r="3795" ht="18" customHeight="1" x14ac:dyDescent="0.25"/>
    <row r="3796" ht="18" customHeight="1" x14ac:dyDescent="0.25"/>
    <row r="3797" ht="18" customHeight="1" x14ac:dyDescent="0.25"/>
    <row r="3798" ht="18" customHeight="1" x14ac:dyDescent="0.25"/>
    <row r="3799" ht="18" customHeight="1" x14ac:dyDescent="0.25"/>
    <row r="3800" ht="18" customHeight="1" x14ac:dyDescent="0.25"/>
    <row r="3801" ht="18" customHeight="1" x14ac:dyDescent="0.25"/>
    <row r="3802" ht="18" customHeight="1" x14ac:dyDescent="0.25"/>
    <row r="3803" ht="18" customHeight="1" x14ac:dyDescent="0.25"/>
    <row r="3804" ht="18" customHeight="1" x14ac:dyDescent="0.25"/>
    <row r="3805" ht="18" customHeight="1" x14ac:dyDescent="0.25"/>
    <row r="3806" ht="18" customHeight="1" x14ac:dyDescent="0.25"/>
    <row r="3807" ht="18" customHeight="1" x14ac:dyDescent="0.25"/>
    <row r="3808" ht="18" customHeight="1" x14ac:dyDescent="0.25"/>
    <row r="3809" ht="18" customHeight="1" x14ac:dyDescent="0.25"/>
    <row r="3810" ht="18" customHeight="1" x14ac:dyDescent="0.25"/>
    <row r="3811" ht="18" customHeight="1" x14ac:dyDescent="0.25"/>
    <row r="3812" ht="18" customHeight="1" x14ac:dyDescent="0.25"/>
    <row r="3813" ht="18" customHeight="1" x14ac:dyDescent="0.25"/>
    <row r="3814" ht="18" customHeight="1" x14ac:dyDescent="0.25"/>
    <row r="3815" ht="18" customHeight="1" x14ac:dyDescent="0.25"/>
    <row r="3816" ht="18" customHeight="1" x14ac:dyDescent="0.25"/>
    <row r="3817" ht="18" customHeight="1" x14ac:dyDescent="0.25"/>
    <row r="3818" ht="18" customHeight="1" x14ac:dyDescent="0.25"/>
    <row r="3819" ht="18" customHeight="1" x14ac:dyDescent="0.25"/>
    <row r="3820" ht="18" customHeight="1" x14ac:dyDescent="0.25"/>
    <row r="3821" ht="18" customHeight="1" x14ac:dyDescent="0.25"/>
    <row r="3822" ht="18" customHeight="1" x14ac:dyDescent="0.25"/>
    <row r="3823" ht="18" customHeight="1" x14ac:dyDescent="0.25"/>
    <row r="3824" ht="18" customHeight="1" x14ac:dyDescent="0.25"/>
    <row r="3825" ht="18" customHeight="1" x14ac:dyDescent="0.25"/>
    <row r="3826" ht="18" customHeight="1" x14ac:dyDescent="0.25"/>
    <row r="3827" ht="18" customHeight="1" x14ac:dyDescent="0.25"/>
    <row r="3828" ht="18" customHeight="1" x14ac:dyDescent="0.25"/>
    <row r="3829" ht="18" customHeight="1" x14ac:dyDescent="0.25"/>
    <row r="3830" ht="18" customHeight="1" x14ac:dyDescent="0.25"/>
    <row r="3831" ht="18" customHeight="1" x14ac:dyDescent="0.25"/>
    <row r="3832" ht="18" customHeight="1" x14ac:dyDescent="0.25"/>
    <row r="3833" ht="18" customHeight="1" x14ac:dyDescent="0.25"/>
    <row r="3834" ht="18" customHeight="1" x14ac:dyDescent="0.25"/>
    <row r="3835" ht="18" customHeight="1" x14ac:dyDescent="0.25"/>
    <row r="3836" ht="18" customHeight="1" x14ac:dyDescent="0.25"/>
    <row r="3837" ht="18" customHeight="1" x14ac:dyDescent="0.25"/>
    <row r="3838" ht="18" customHeight="1" x14ac:dyDescent="0.25"/>
    <row r="3839" ht="18" customHeight="1" x14ac:dyDescent="0.25"/>
    <row r="3840" ht="18" customHeight="1" x14ac:dyDescent="0.25"/>
    <row r="3841" ht="18" customHeight="1" x14ac:dyDescent="0.25"/>
    <row r="3842" ht="18" customHeight="1" x14ac:dyDescent="0.25"/>
    <row r="3843" ht="18" customHeight="1" x14ac:dyDescent="0.25"/>
    <row r="3844" ht="18" customHeight="1" x14ac:dyDescent="0.25"/>
    <row r="3845" ht="18" customHeight="1" x14ac:dyDescent="0.25"/>
    <row r="3846" ht="18" customHeight="1" x14ac:dyDescent="0.25"/>
    <row r="3847" ht="18" customHeight="1" x14ac:dyDescent="0.25"/>
    <row r="3848" ht="18" customHeight="1" x14ac:dyDescent="0.25"/>
    <row r="3849" ht="18" customHeight="1" x14ac:dyDescent="0.25"/>
    <row r="3850" ht="18" customHeight="1" x14ac:dyDescent="0.25"/>
    <row r="3851" ht="18" customHeight="1" x14ac:dyDescent="0.25"/>
    <row r="3852" ht="18" customHeight="1" x14ac:dyDescent="0.25"/>
    <row r="3853" ht="18" customHeight="1" x14ac:dyDescent="0.25"/>
    <row r="3854" ht="18" customHeight="1" x14ac:dyDescent="0.25"/>
    <row r="3855" ht="18" customHeight="1" x14ac:dyDescent="0.25"/>
    <row r="3856" ht="18" customHeight="1" x14ac:dyDescent="0.25"/>
    <row r="3857" ht="18" customHeight="1" x14ac:dyDescent="0.25"/>
    <row r="3858" ht="18" customHeight="1" x14ac:dyDescent="0.25"/>
    <row r="3859" ht="18" customHeight="1" x14ac:dyDescent="0.25"/>
    <row r="3860" ht="18" customHeight="1" x14ac:dyDescent="0.25"/>
    <row r="3861" ht="18" customHeight="1" x14ac:dyDescent="0.25"/>
    <row r="3862" ht="18" customHeight="1" x14ac:dyDescent="0.25"/>
    <row r="3863" ht="18" customHeight="1" x14ac:dyDescent="0.25"/>
    <row r="3864" ht="18" customHeight="1" x14ac:dyDescent="0.25"/>
    <row r="3865" ht="18" customHeight="1" x14ac:dyDescent="0.25"/>
    <row r="3866" ht="18" customHeight="1" x14ac:dyDescent="0.25"/>
    <row r="3867" ht="18" customHeight="1" x14ac:dyDescent="0.25"/>
    <row r="3868" ht="18" customHeight="1" x14ac:dyDescent="0.25"/>
    <row r="3869" ht="18" customHeight="1" x14ac:dyDescent="0.25"/>
    <row r="3870" ht="18" customHeight="1" x14ac:dyDescent="0.25"/>
    <row r="3871" ht="18" customHeight="1" x14ac:dyDescent="0.25"/>
    <row r="3872" ht="18" customHeight="1" x14ac:dyDescent="0.25"/>
    <row r="3873" ht="18" customHeight="1" x14ac:dyDescent="0.25"/>
    <row r="3874" ht="18" customHeight="1" x14ac:dyDescent="0.25"/>
    <row r="3875" ht="18" customHeight="1" x14ac:dyDescent="0.25"/>
    <row r="3876" ht="18" customHeight="1" x14ac:dyDescent="0.25"/>
    <row r="3877" ht="18" customHeight="1" x14ac:dyDescent="0.25"/>
    <row r="3878" ht="18" customHeight="1" x14ac:dyDescent="0.25"/>
    <row r="3879" ht="18" customHeight="1" x14ac:dyDescent="0.25"/>
    <row r="3880" ht="18" customHeight="1" x14ac:dyDescent="0.25"/>
    <row r="3881" ht="18" customHeight="1" x14ac:dyDescent="0.25"/>
    <row r="3882" ht="18" customHeight="1" x14ac:dyDescent="0.25"/>
    <row r="3883" ht="18" customHeight="1" x14ac:dyDescent="0.25"/>
    <row r="3884" ht="18" customHeight="1" x14ac:dyDescent="0.25"/>
    <row r="3885" ht="18" customHeight="1" x14ac:dyDescent="0.25"/>
    <row r="3886" ht="18" customHeight="1" x14ac:dyDescent="0.25"/>
    <row r="3887" ht="18" customHeight="1" x14ac:dyDescent="0.25"/>
    <row r="3888" ht="18" customHeight="1" x14ac:dyDescent="0.25"/>
    <row r="3889" ht="18" customHeight="1" x14ac:dyDescent="0.25"/>
    <row r="3890" ht="18" customHeight="1" x14ac:dyDescent="0.25"/>
    <row r="3891" ht="18" customHeight="1" x14ac:dyDescent="0.25"/>
    <row r="3892" ht="18" customHeight="1" x14ac:dyDescent="0.25"/>
    <row r="3893" ht="18" customHeight="1" x14ac:dyDescent="0.25"/>
    <row r="3894" ht="18" customHeight="1" x14ac:dyDescent="0.25"/>
    <row r="3895" ht="18" customHeight="1" x14ac:dyDescent="0.25"/>
    <row r="3896" ht="18" customHeight="1" x14ac:dyDescent="0.25"/>
    <row r="3897" ht="18" customHeight="1" x14ac:dyDescent="0.25"/>
    <row r="3898" ht="18" customHeight="1" x14ac:dyDescent="0.25"/>
    <row r="3899" ht="18" customHeight="1" x14ac:dyDescent="0.25"/>
    <row r="3900" ht="18" customHeight="1" x14ac:dyDescent="0.25"/>
    <row r="3901" ht="18" customHeight="1" x14ac:dyDescent="0.25"/>
    <row r="3902" ht="18" customHeight="1" x14ac:dyDescent="0.25"/>
    <row r="3903" ht="18" customHeight="1" x14ac:dyDescent="0.25"/>
    <row r="3904" ht="18" customHeight="1" x14ac:dyDescent="0.25"/>
    <row r="3905" ht="18" customHeight="1" x14ac:dyDescent="0.25"/>
    <row r="3906" ht="18" customHeight="1" x14ac:dyDescent="0.25"/>
    <row r="3907" ht="18" customHeight="1" x14ac:dyDescent="0.25"/>
    <row r="3908" ht="18" customHeight="1" x14ac:dyDescent="0.25"/>
    <row r="3909" ht="18" customHeight="1" x14ac:dyDescent="0.25"/>
    <row r="3910" ht="18" customHeight="1" x14ac:dyDescent="0.25"/>
    <row r="3911" ht="18" customHeight="1" x14ac:dyDescent="0.25"/>
    <row r="3912" ht="18" customHeight="1" x14ac:dyDescent="0.25"/>
    <row r="3913" ht="18" customHeight="1" x14ac:dyDescent="0.25"/>
    <row r="3914" ht="18" customHeight="1" x14ac:dyDescent="0.25"/>
    <row r="3915" ht="18" customHeight="1" x14ac:dyDescent="0.25"/>
    <row r="3916" ht="18" customHeight="1" x14ac:dyDescent="0.25"/>
    <row r="3917" ht="18" customHeight="1" x14ac:dyDescent="0.25"/>
    <row r="3918" ht="18" customHeight="1" x14ac:dyDescent="0.25"/>
    <row r="3919" ht="18" customHeight="1" x14ac:dyDescent="0.25"/>
    <row r="3920" ht="18" customHeight="1" x14ac:dyDescent="0.25"/>
    <row r="3921" ht="18" customHeight="1" x14ac:dyDescent="0.25"/>
    <row r="3922" ht="18" customHeight="1" x14ac:dyDescent="0.25"/>
    <row r="3923" ht="18" customHeight="1" x14ac:dyDescent="0.25"/>
    <row r="3924" ht="18" customHeight="1" x14ac:dyDescent="0.25"/>
    <row r="3925" ht="18" customHeight="1" x14ac:dyDescent="0.25"/>
    <row r="3926" ht="18" customHeight="1" x14ac:dyDescent="0.25"/>
    <row r="3927" ht="18" customHeight="1" x14ac:dyDescent="0.25"/>
    <row r="3928" ht="18" customHeight="1" x14ac:dyDescent="0.25"/>
    <row r="3929" ht="18" customHeight="1" x14ac:dyDescent="0.25"/>
    <row r="3930" ht="18" customHeight="1" x14ac:dyDescent="0.25"/>
    <row r="3931" ht="18" customHeight="1" x14ac:dyDescent="0.25"/>
    <row r="3932" ht="18" customHeight="1" x14ac:dyDescent="0.25"/>
    <row r="3933" ht="18" customHeight="1" x14ac:dyDescent="0.25"/>
    <row r="3934" ht="18" customHeight="1" x14ac:dyDescent="0.25"/>
    <row r="3935" ht="18" customHeight="1" x14ac:dyDescent="0.25"/>
    <row r="3936" ht="18" customHeight="1" x14ac:dyDescent="0.25"/>
    <row r="3937" ht="18" customHeight="1" x14ac:dyDescent="0.25"/>
    <row r="3938" ht="18" customHeight="1" x14ac:dyDescent="0.25"/>
    <row r="3939" ht="18" customHeight="1" x14ac:dyDescent="0.25"/>
    <row r="3940" ht="18" customHeight="1" x14ac:dyDescent="0.25"/>
    <row r="3941" ht="18" customHeight="1" x14ac:dyDescent="0.25"/>
    <row r="3942" ht="18" customHeight="1" x14ac:dyDescent="0.25"/>
    <row r="3943" ht="18" customHeight="1" x14ac:dyDescent="0.25"/>
    <row r="3944" ht="18" customHeight="1" x14ac:dyDescent="0.25"/>
    <row r="3945" ht="18" customHeight="1" x14ac:dyDescent="0.25"/>
    <row r="3946" ht="18" customHeight="1" x14ac:dyDescent="0.25"/>
    <row r="3947" ht="18" customHeight="1" x14ac:dyDescent="0.25"/>
    <row r="3948" ht="18" customHeight="1" x14ac:dyDescent="0.25"/>
    <row r="3949" ht="18" customHeight="1" x14ac:dyDescent="0.25"/>
    <row r="3950" ht="18" customHeight="1" x14ac:dyDescent="0.25"/>
    <row r="3951" ht="18" customHeight="1" x14ac:dyDescent="0.25"/>
    <row r="3952" ht="18" customHeight="1" x14ac:dyDescent="0.25"/>
    <row r="3953" ht="18" customHeight="1" x14ac:dyDescent="0.25"/>
    <row r="3954" ht="18" customHeight="1" x14ac:dyDescent="0.25"/>
    <row r="3955" ht="18" customHeight="1" x14ac:dyDescent="0.25"/>
    <row r="3956" ht="18" customHeight="1" x14ac:dyDescent="0.25"/>
    <row r="3957" ht="18" customHeight="1" x14ac:dyDescent="0.25"/>
    <row r="3958" ht="18" customHeight="1" x14ac:dyDescent="0.25"/>
    <row r="3959" ht="18" customHeight="1" x14ac:dyDescent="0.25"/>
    <row r="3960" ht="18" customHeight="1" x14ac:dyDescent="0.25"/>
    <row r="3961" ht="18" customHeight="1" x14ac:dyDescent="0.25"/>
    <row r="3962" ht="18" customHeight="1" x14ac:dyDescent="0.25"/>
    <row r="3963" ht="18" customHeight="1" x14ac:dyDescent="0.25"/>
    <row r="3964" ht="18" customHeight="1" x14ac:dyDescent="0.25"/>
    <row r="3965" ht="18" customHeight="1" x14ac:dyDescent="0.25"/>
    <row r="3966" ht="18" customHeight="1" x14ac:dyDescent="0.25"/>
    <row r="3967" ht="18" customHeight="1" x14ac:dyDescent="0.25"/>
    <row r="3968" ht="18" customHeight="1" x14ac:dyDescent="0.25"/>
    <row r="3969" ht="18" customHeight="1" x14ac:dyDescent="0.25"/>
    <row r="3970" ht="18" customHeight="1" x14ac:dyDescent="0.25"/>
    <row r="3971" ht="18" customHeight="1" x14ac:dyDescent="0.25"/>
    <row r="3972" ht="18" customHeight="1" x14ac:dyDescent="0.25"/>
    <row r="3973" ht="18" customHeight="1" x14ac:dyDescent="0.25"/>
    <row r="3974" ht="18" customHeight="1" x14ac:dyDescent="0.25"/>
    <row r="3975" ht="18" customHeight="1" x14ac:dyDescent="0.25"/>
    <row r="3976" ht="18" customHeight="1" x14ac:dyDescent="0.25"/>
    <row r="3977" ht="18" customHeight="1" x14ac:dyDescent="0.25"/>
    <row r="3978" ht="18" customHeight="1" x14ac:dyDescent="0.25"/>
    <row r="3979" ht="18" customHeight="1" x14ac:dyDescent="0.25"/>
    <row r="3980" ht="18" customHeight="1" x14ac:dyDescent="0.25"/>
    <row r="3981" ht="18" customHeight="1" x14ac:dyDescent="0.25"/>
    <row r="3982" ht="18" customHeight="1" x14ac:dyDescent="0.25"/>
    <row r="3983" ht="18" customHeight="1" x14ac:dyDescent="0.25"/>
    <row r="3984" ht="18" customHeight="1" x14ac:dyDescent="0.25"/>
    <row r="3985" ht="18" customHeight="1" x14ac:dyDescent="0.25"/>
    <row r="3986" ht="18" customHeight="1" x14ac:dyDescent="0.25"/>
    <row r="3987" ht="18" customHeight="1" x14ac:dyDescent="0.25"/>
    <row r="3988" ht="18" customHeight="1" x14ac:dyDescent="0.25"/>
    <row r="3989" ht="18" customHeight="1" x14ac:dyDescent="0.25"/>
    <row r="3990" ht="18" customHeight="1" x14ac:dyDescent="0.25"/>
    <row r="3991" ht="18" customHeight="1" x14ac:dyDescent="0.25"/>
    <row r="3992" ht="18" customHeight="1" x14ac:dyDescent="0.25"/>
    <row r="3993" ht="18" customHeight="1" x14ac:dyDescent="0.25"/>
    <row r="3994" ht="18" customHeight="1" x14ac:dyDescent="0.25"/>
    <row r="3995" ht="18" customHeight="1" x14ac:dyDescent="0.25"/>
    <row r="3996" ht="18" customHeight="1" x14ac:dyDescent="0.25"/>
    <row r="3997" ht="18" customHeight="1" x14ac:dyDescent="0.25"/>
    <row r="3998" ht="18" customHeight="1" x14ac:dyDescent="0.25"/>
    <row r="3999" ht="18" customHeight="1" x14ac:dyDescent="0.25"/>
    <row r="4000" ht="18" customHeight="1" x14ac:dyDescent="0.25"/>
    <row r="4001" ht="18" customHeight="1" x14ac:dyDescent="0.25"/>
    <row r="4002" ht="18" customHeight="1" x14ac:dyDescent="0.25"/>
    <row r="4003" ht="18" customHeight="1" x14ac:dyDescent="0.25"/>
    <row r="4004" ht="18" customHeight="1" x14ac:dyDescent="0.25"/>
    <row r="4005" ht="18" customHeight="1" x14ac:dyDescent="0.25"/>
    <row r="4006" ht="18" customHeight="1" x14ac:dyDescent="0.25"/>
    <row r="4007" ht="18" customHeight="1" x14ac:dyDescent="0.25"/>
    <row r="4008" ht="18" customHeight="1" x14ac:dyDescent="0.25"/>
    <row r="4009" ht="18" customHeight="1" x14ac:dyDescent="0.25"/>
    <row r="4010" ht="18" customHeight="1" x14ac:dyDescent="0.25"/>
    <row r="4011" ht="18" customHeight="1" x14ac:dyDescent="0.25"/>
    <row r="4012" ht="18" customHeight="1" x14ac:dyDescent="0.25"/>
    <row r="4013" ht="18" customHeight="1" x14ac:dyDescent="0.25"/>
    <row r="4014" ht="18" customHeight="1" x14ac:dyDescent="0.25"/>
    <row r="4015" ht="18" customHeight="1" x14ac:dyDescent="0.25"/>
    <row r="4016" ht="18" customHeight="1" x14ac:dyDescent="0.25"/>
    <row r="4017" ht="18" customHeight="1" x14ac:dyDescent="0.25"/>
    <row r="4018" ht="18" customHeight="1" x14ac:dyDescent="0.25"/>
    <row r="4019" ht="18" customHeight="1" x14ac:dyDescent="0.25"/>
    <row r="4020" ht="18" customHeight="1" x14ac:dyDescent="0.25"/>
    <row r="4021" ht="18" customHeight="1" x14ac:dyDescent="0.25"/>
    <row r="4022" ht="18" customHeight="1" x14ac:dyDescent="0.25"/>
    <row r="4023" ht="18" customHeight="1" x14ac:dyDescent="0.25"/>
    <row r="4024" ht="18" customHeight="1" x14ac:dyDescent="0.25"/>
    <row r="4025" ht="18" customHeight="1" x14ac:dyDescent="0.25"/>
    <row r="4026" ht="18" customHeight="1" x14ac:dyDescent="0.25"/>
    <row r="4027" ht="18" customHeight="1" x14ac:dyDescent="0.25"/>
    <row r="4028" ht="18" customHeight="1" x14ac:dyDescent="0.25"/>
    <row r="4029" ht="18" customHeight="1" x14ac:dyDescent="0.25"/>
    <row r="4030" ht="18" customHeight="1" x14ac:dyDescent="0.25"/>
    <row r="4031" ht="18" customHeight="1" x14ac:dyDescent="0.25"/>
    <row r="4032" ht="18" customHeight="1" x14ac:dyDescent="0.25"/>
    <row r="4033" ht="18" customHeight="1" x14ac:dyDescent="0.25"/>
    <row r="4034" ht="18" customHeight="1" x14ac:dyDescent="0.25"/>
    <row r="4035" ht="18" customHeight="1" x14ac:dyDescent="0.25"/>
    <row r="4036" ht="18" customHeight="1" x14ac:dyDescent="0.25"/>
    <row r="4037" ht="18" customHeight="1" x14ac:dyDescent="0.25"/>
    <row r="4038" ht="18" customHeight="1" x14ac:dyDescent="0.25"/>
    <row r="4039" ht="18" customHeight="1" x14ac:dyDescent="0.25"/>
    <row r="4040" ht="18" customHeight="1" x14ac:dyDescent="0.25"/>
    <row r="4041" ht="18" customHeight="1" x14ac:dyDescent="0.25"/>
    <row r="4042" ht="18" customHeight="1" x14ac:dyDescent="0.25"/>
    <row r="4043" ht="18" customHeight="1" x14ac:dyDescent="0.25"/>
    <row r="4044" ht="18" customHeight="1" x14ac:dyDescent="0.25"/>
    <row r="4045" ht="18" customHeight="1" x14ac:dyDescent="0.25"/>
    <row r="4046" ht="18" customHeight="1" x14ac:dyDescent="0.25"/>
    <row r="4047" ht="18" customHeight="1" x14ac:dyDescent="0.25"/>
    <row r="4048" ht="18" customHeight="1" x14ac:dyDescent="0.25"/>
    <row r="4049" ht="18" customHeight="1" x14ac:dyDescent="0.25"/>
    <row r="4050" ht="18" customHeight="1" x14ac:dyDescent="0.25"/>
    <row r="4051" ht="18" customHeight="1" x14ac:dyDescent="0.25"/>
    <row r="4052" ht="18" customHeight="1" x14ac:dyDescent="0.25"/>
    <row r="4053" ht="18" customHeight="1" x14ac:dyDescent="0.25"/>
    <row r="4054" ht="18" customHeight="1" x14ac:dyDescent="0.25"/>
    <row r="4055" ht="18" customHeight="1" x14ac:dyDescent="0.25"/>
    <row r="4056" ht="18" customHeight="1" x14ac:dyDescent="0.25"/>
    <row r="4057" ht="18" customHeight="1" x14ac:dyDescent="0.25"/>
    <row r="4058" ht="18" customHeight="1" x14ac:dyDescent="0.25"/>
    <row r="4059" ht="18" customHeight="1" x14ac:dyDescent="0.25"/>
    <row r="4060" ht="18" customHeight="1" x14ac:dyDescent="0.25"/>
    <row r="4061" ht="18" customHeight="1" x14ac:dyDescent="0.25"/>
    <row r="4062" ht="18" customHeight="1" x14ac:dyDescent="0.25"/>
    <row r="4063" ht="18" customHeight="1" x14ac:dyDescent="0.25"/>
    <row r="4064" ht="18" customHeight="1" x14ac:dyDescent="0.25"/>
    <row r="4065" ht="18" customHeight="1" x14ac:dyDescent="0.25"/>
    <row r="4066" ht="18" customHeight="1" x14ac:dyDescent="0.25"/>
    <row r="4067" ht="18" customHeight="1" x14ac:dyDescent="0.25"/>
    <row r="4068" ht="18" customHeight="1" x14ac:dyDescent="0.25"/>
    <row r="4069" ht="18" customHeight="1" x14ac:dyDescent="0.25"/>
    <row r="4070" ht="18" customHeight="1" x14ac:dyDescent="0.25"/>
    <row r="4071" ht="18" customHeight="1" x14ac:dyDescent="0.25"/>
    <row r="4072" ht="18" customHeight="1" x14ac:dyDescent="0.25"/>
    <row r="4073" ht="18" customHeight="1" x14ac:dyDescent="0.25"/>
    <row r="4074" ht="18" customHeight="1" x14ac:dyDescent="0.25"/>
    <row r="4075" ht="18" customHeight="1" x14ac:dyDescent="0.25"/>
    <row r="4076" ht="18" customHeight="1" x14ac:dyDescent="0.25"/>
    <row r="4077" ht="18" customHeight="1" x14ac:dyDescent="0.25"/>
    <row r="4078" ht="18" customHeight="1" x14ac:dyDescent="0.25"/>
    <row r="4079" ht="18" customHeight="1" x14ac:dyDescent="0.25"/>
    <row r="4080" ht="18" customHeight="1" x14ac:dyDescent="0.25"/>
    <row r="4081" ht="18" customHeight="1" x14ac:dyDescent="0.25"/>
    <row r="4082" ht="18" customHeight="1" x14ac:dyDescent="0.25"/>
    <row r="4083" ht="18" customHeight="1" x14ac:dyDescent="0.25"/>
    <row r="4084" ht="18" customHeight="1" x14ac:dyDescent="0.25"/>
    <row r="4085" ht="18" customHeight="1" x14ac:dyDescent="0.25"/>
    <row r="4086" ht="18" customHeight="1" x14ac:dyDescent="0.25"/>
    <row r="4087" ht="18" customHeight="1" x14ac:dyDescent="0.25"/>
    <row r="4088" ht="18" customHeight="1" x14ac:dyDescent="0.25"/>
    <row r="4089" ht="18" customHeight="1" x14ac:dyDescent="0.25"/>
    <row r="4090" ht="18" customHeight="1" x14ac:dyDescent="0.25"/>
    <row r="4091" ht="18" customHeight="1" x14ac:dyDescent="0.25"/>
    <row r="4092" ht="18" customHeight="1" x14ac:dyDescent="0.25"/>
    <row r="4093" ht="18" customHeight="1" x14ac:dyDescent="0.25"/>
    <row r="4094" ht="18" customHeight="1" x14ac:dyDescent="0.25"/>
    <row r="4095" ht="18" customHeight="1" x14ac:dyDescent="0.25"/>
    <row r="4096" ht="18" customHeight="1" x14ac:dyDescent="0.25"/>
    <row r="4097" ht="18" customHeight="1" x14ac:dyDescent="0.25"/>
    <row r="4098" ht="18" customHeight="1" x14ac:dyDescent="0.25"/>
    <row r="4099" ht="18" customHeight="1" x14ac:dyDescent="0.25"/>
    <row r="4100" ht="18" customHeight="1" x14ac:dyDescent="0.25"/>
    <row r="4101" ht="18" customHeight="1" x14ac:dyDescent="0.25"/>
    <row r="4102" ht="18" customHeight="1" x14ac:dyDescent="0.25"/>
    <row r="4103" ht="18" customHeight="1" x14ac:dyDescent="0.25"/>
    <row r="4104" ht="18" customHeight="1" x14ac:dyDescent="0.25"/>
    <row r="4105" ht="18" customHeight="1" x14ac:dyDescent="0.25"/>
    <row r="4106" ht="18" customHeight="1" x14ac:dyDescent="0.25"/>
    <row r="4107" ht="18" customHeight="1" x14ac:dyDescent="0.25"/>
    <row r="4108" ht="18" customHeight="1" x14ac:dyDescent="0.25"/>
    <row r="4109" ht="18" customHeight="1" x14ac:dyDescent="0.25"/>
    <row r="4110" ht="18" customHeight="1" x14ac:dyDescent="0.25"/>
    <row r="4111" ht="18" customHeight="1" x14ac:dyDescent="0.25"/>
    <row r="4112" ht="18" customHeight="1" x14ac:dyDescent="0.25"/>
    <row r="4113" ht="18" customHeight="1" x14ac:dyDescent="0.25"/>
    <row r="4114" ht="18" customHeight="1" x14ac:dyDescent="0.25"/>
    <row r="4115" ht="18" customHeight="1" x14ac:dyDescent="0.25"/>
    <row r="4116" ht="18" customHeight="1" x14ac:dyDescent="0.25"/>
    <row r="4117" ht="18" customHeight="1" x14ac:dyDescent="0.25"/>
    <row r="4118" ht="18" customHeight="1" x14ac:dyDescent="0.25"/>
    <row r="4119" ht="18" customHeight="1" x14ac:dyDescent="0.25"/>
    <row r="4120" ht="18" customHeight="1" x14ac:dyDescent="0.25"/>
    <row r="4121" ht="18" customHeight="1" x14ac:dyDescent="0.25"/>
    <row r="4122" ht="18" customHeight="1" x14ac:dyDescent="0.25"/>
    <row r="4123" ht="18" customHeight="1" x14ac:dyDescent="0.25"/>
    <row r="4124" ht="18" customHeight="1" x14ac:dyDescent="0.25"/>
    <row r="4125" ht="18" customHeight="1" x14ac:dyDescent="0.25"/>
    <row r="4126" ht="18" customHeight="1" x14ac:dyDescent="0.25"/>
    <row r="4127" ht="18" customHeight="1" x14ac:dyDescent="0.25"/>
    <row r="4128" ht="18" customHeight="1" x14ac:dyDescent="0.25"/>
    <row r="4129" ht="18" customHeight="1" x14ac:dyDescent="0.25"/>
    <row r="4130" ht="18" customHeight="1" x14ac:dyDescent="0.25"/>
    <row r="4131" ht="18" customHeight="1" x14ac:dyDescent="0.25"/>
    <row r="4132" ht="18" customHeight="1" x14ac:dyDescent="0.25"/>
    <row r="4133" ht="18" customHeight="1" x14ac:dyDescent="0.25"/>
    <row r="4134" ht="18" customHeight="1" x14ac:dyDescent="0.25"/>
    <row r="4135" ht="18" customHeight="1" x14ac:dyDescent="0.25"/>
    <row r="4136" ht="18" customHeight="1" x14ac:dyDescent="0.25"/>
    <row r="4137" ht="18" customHeight="1" x14ac:dyDescent="0.25"/>
    <row r="4138" ht="18" customHeight="1" x14ac:dyDescent="0.25"/>
    <row r="4139" ht="18" customHeight="1" x14ac:dyDescent="0.25"/>
    <row r="4140" ht="18" customHeight="1" x14ac:dyDescent="0.25"/>
    <row r="4141" ht="18" customHeight="1" x14ac:dyDescent="0.25"/>
    <row r="4142" ht="18" customHeight="1" x14ac:dyDescent="0.25"/>
    <row r="4143" ht="18" customHeight="1" x14ac:dyDescent="0.25"/>
    <row r="4144" ht="18" customHeight="1" x14ac:dyDescent="0.25"/>
    <row r="4145" ht="18" customHeight="1" x14ac:dyDescent="0.25"/>
    <row r="4146" ht="18" customHeight="1" x14ac:dyDescent="0.25"/>
    <row r="4147" ht="18" customHeight="1" x14ac:dyDescent="0.25"/>
    <row r="4148" ht="18" customHeight="1" x14ac:dyDescent="0.25"/>
    <row r="4149" ht="18" customHeight="1" x14ac:dyDescent="0.25"/>
    <row r="4150" ht="18" customHeight="1" x14ac:dyDescent="0.25"/>
    <row r="4151" ht="18" customHeight="1" x14ac:dyDescent="0.25"/>
    <row r="4152" ht="18" customHeight="1" x14ac:dyDescent="0.25"/>
    <row r="4153" ht="18" customHeight="1" x14ac:dyDescent="0.25"/>
    <row r="4154" ht="18" customHeight="1" x14ac:dyDescent="0.25"/>
    <row r="4155" ht="18" customHeight="1" x14ac:dyDescent="0.25"/>
    <row r="4156" ht="18" customHeight="1" x14ac:dyDescent="0.25"/>
    <row r="4157" ht="18" customHeight="1" x14ac:dyDescent="0.25"/>
    <row r="4158" ht="18" customHeight="1" x14ac:dyDescent="0.25"/>
    <row r="4159" ht="18" customHeight="1" x14ac:dyDescent="0.25"/>
    <row r="4160" ht="18" customHeight="1" x14ac:dyDescent="0.25"/>
    <row r="4161" ht="18" customHeight="1" x14ac:dyDescent="0.25"/>
    <row r="4162" ht="18" customHeight="1" x14ac:dyDescent="0.25"/>
    <row r="4163" ht="18" customHeight="1" x14ac:dyDescent="0.25"/>
    <row r="4164" ht="18" customHeight="1" x14ac:dyDescent="0.25"/>
    <row r="4165" ht="18" customHeight="1" x14ac:dyDescent="0.25"/>
    <row r="4166" ht="18" customHeight="1" x14ac:dyDescent="0.25"/>
    <row r="4167" ht="18" customHeight="1" x14ac:dyDescent="0.25"/>
    <row r="4168" ht="18" customHeight="1" x14ac:dyDescent="0.25"/>
    <row r="4169" ht="18" customHeight="1" x14ac:dyDescent="0.25"/>
    <row r="4170" ht="18" customHeight="1" x14ac:dyDescent="0.25"/>
    <row r="4171" ht="18" customHeight="1" x14ac:dyDescent="0.25"/>
    <row r="4172" ht="18" customHeight="1" x14ac:dyDescent="0.25"/>
    <row r="4173" ht="18" customHeight="1" x14ac:dyDescent="0.25"/>
    <row r="4174" ht="18" customHeight="1" x14ac:dyDescent="0.25"/>
    <row r="4175" ht="18" customHeight="1" x14ac:dyDescent="0.25"/>
    <row r="4176" ht="18" customHeight="1" x14ac:dyDescent="0.25"/>
    <row r="4177" ht="18" customHeight="1" x14ac:dyDescent="0.25"/>
    <row r="4178" ht="18" customHeight="1" x14ac:dyDescent="0.25"/>
    <row r="4179" ht="18" customHeight="1" x14ac:dyDescent="0.25"/>
    <row r="4180" ht="18" customHeight="1" x14ac:dyDescent="0.25"/>
    <row r="4181" ht="18" customHeight="1" x14ac:dyDescent="0.25"/>
    <row r="4182" ht="18" customHeight="1" x14ac:dyDescent="0.25"/>
    <row r="4183" ht="18" customHeight="1" x14ac:dyDescent="0.25"/>
    <row r="4184" ht="18" customHeight="1" x14ac:dyDescent="0.25"/>
    <row r="4185" ht="18" customHeight="1" x14ac:dyDescent="0.25"/>
    <row r="4186" ht="18" customHeight="1" x14ac:dyDescent="0.25"/>
    <row r="4187" ht="18" customHeight="1" x14ac:dyDescent="0.25"/>
    <row r="4188" ht="18" customHeight="1" x14ac:dyDescent="0.25"/>
    <row r="4189" ht="18" customHeight="1" x14ac:dyDescent="0.25"/>
    <row r="4190" ht="18" customHeight="1" x14ac:dyDescent="0.25"/>
    <row r="4191" ht="18" customHeight="1" x14ac:dyDescent="0.25"/>
    <row r="4192" ht="18" customHeight="1" x14ac:dyDescent="0.25"/>
    <row r="4193" ht="18" customHeight="1" x14ac:dyDescent="0.25"/>
    <row r="4194" ht="18" customHeight="1" x14ac:dyDescent="0.25"/>
    <row r="4195" ht="18" customHeight="1" x14ac:dyDescent="0.25"/>
    <row r="4196" ht="18" customHeight="1" x14ac:dyDescent="0.25"/>
    <row r="4197" ht="18" customHeight="1" x14ac:dyDescent="0.25"/>
    <row r="4198" ht="18" customHeight="1" x14ac:dyDescent="0.25"/>
    <row r="4199" ht="18" customHeight="1" x14ac:dyDescent="0.25"/>
    <row r="4200" ht="18" customHeight="1" x14ac:dyDescent="0.25"/>
    <row r="4201" ht="18" customHeight="1" x14ac:dyDescent="0.25"/>
    <row r="4202" ht="18" customHeight="1" x14ac:dyDescent="0.25"/>
    <row r="4203" ht="18" customHeight="1" x14ac:dyDescent="0.25"/>
    <row r="4204" ht="18" customHeight="1" x14ac:dyDescent="0.25"/>
    <row r="4205" ht="18" customHeight="1" x14ac:dyDescent="0.25"/>
    <row r="4206" ht="18" customHeight="1" x14ac:dyDescent="0.25"/>
    <row r="4207" ht="18" customHeight="1" x14ac:dyDescent="0.25"/>
    <row r="4208" ht="18" customHeight="1" x14ac:dyDescent="0.25"/>
    <row r="4209" ht="18" customHeight="1" x14ac:dyDescent="0.25"/>
    <row r="4210" ht="18" customHeight="1" x14ac:dyDescent="0.25"/>
    <row r="4211" ht="18" customHeight="1" x14ac:dyDescent="0.25"/>
    <row r="4212" ht="18" customHeight="1" x14ac:dyDescent="0.25"/>
    <row r="4213" ht="18" customHeight="1" x14ac:dyDescent="0.25"/>
    <row r="4214" ht="18" customHeight="1" x14ac:dyDescent="0.25"/>
    <row r="4215" ht="18" customHeight="1" x14ac:dyDescent="0.25"/>
    <row r="4216" ht="18" customHeight="1" x14ac:dyDescent="0.25"/>
    <row r="4217" ht="18" customHeight="1" x14ac:dyDescent="0.25"/>
    <row r="4218" ht="18" customHeight="1" x14ac:dyDescent="0.25"/>
    <row r="4219" ht="18" customHeight="1" x14ac:dyDescent="0.25"/>
    <row r="4220" ht="18" customHeight="1" x14ac:dyDescent="0.25"/>
    <row r="4221" ht="18" customHeight="1" x14ac:dyDescent="0.25"/>
    <row r="4222" ht="18" customHeight="1" x14ac:dyDescent="0.25"/>
    <row r="4223" ht="18" customHeight="1" x14ac:dyDescent="0.25"/>
    <row r="4224" ht="18" customHeight="1" x14ac:dyDescent="0.25"/>
    <row r="4225" ht="18" customHeight="1" x14ac:dyDescent="0.25"/>
    <row r="4226" ht="18" customHeight="1" x14ac:dyDescent="0.25"/>
    <row r="4227" ht="18" customHeight="1" x14ac:dyDescent="0.25"/>
    <row r="4228" ht="18" customHeight="1" x14ac:dyDescent="0.25"/>
    <row r="4229" ht="18" customHeight="1" x14ac:dyDescent="0.25"/>
    <row r="4230" ht="18" customHeight="1" x14ac:dyDescent="0.25"/>
    <row r="4231" ht="18" customHeight="1" x14ac:dyDescent="0.25"/>
    <row r="4232" ht="18" customHeight="1" x14ac:dyDescent="0.25"/>
    <row r="4233" ht="18" customHeight="1" x14ac:dyDescent="0.25"/>
    <row r="4234" ht="18" customHeight="1" x14ac:dyDescent="0.25"/>
    <row r="4235" ht="18" customHeight="1" x14ac:dyDescent="0.25"/>
    <row r="4236" ht="18" customHeight="1" x14ac:dyDescent="0.25"/>
    <row r="4237" ht="18" customHeight="1" x14ac:dyDescent="0.25"/>
    <row r="4238" ht="18" customHeight="1" x14ac:dyDescent="0.25"/>
    <row r="4239" ht="18" customHeight="1" x14ac:dyDescent="0.25"/>
    <row r="4240" ht="18" customHeight="1" x14ac:dyDescent="0.25"/>
    <row r="4241" ht="18" customHeight="1" x14ac:dyDescent="0.25"/>
    <row r="4242" ht="18" customHeight="1" x14ac:dyDescent="0.25"/>
    <row r="4243" ht="18" customHeight="1" x14ac:dyDescent="0.25"/>
    <row r="4244" ht="18" customHeight="1" x14ac:dyDescent="0.25"/>
    <row r="4245" ht="18" customHeight="1" x14ac:dyDescent="0.25"/>
    <row r="4246" ht="18" customHeight="1" x14ac:dyDescent="0.25"/>
    <row r="4247" ht="18" customHeight="1" x14ac:dyDescent="0.25"/>
    <row r="4248" ht="18" customHeight="1" x14ac:dyDescent="0.25"/>
    <row r="4249" ht="18" customHeight="1" x14ac:dyDescent="0.25"/>
    <row r="4250" ht="18" customHeight="1" x14ac:dyDescent="0.25"/>
    <row r="4251" ht="18" customHeight="1" x14ac:dyDescent="0.25"/>
    <row r="4252" ht="18" customHeight="1" x14ac:dyDescent="0.25"/>
    <row r="4253" ht="18" customHeight="1" x14ac:dyDescent="0.25"/>
    <row r="4254" ht="18" customHeight="1" x14ac:dyDescent="0.25"/>
    <row r="4255" ht="18" customHeight="1" x14ac:dyDescent="0.25"/>
    <row r="4256" ht="18" customHeight="1" x14ac:dyDescent="0.25"/>
    <row r="4257" ht="18" customHeight="1" x14ac:dyDescent="0.25"/>
    <row r="4258" ht="18" customHeight="1" x14ac:dyDescent="0.25"/>
    <row r="4259" ht="18" customHeight="1" x14ac:dyDescent="0.25"/>
    <row r="4260" ht="18" customHeight="1" x14ac:dyDescent="0.25"/>
    <row r="4261" ht="18" customHeight="1" x14ac:dyDescent="0.25"/>
    <row r="4262" ht="18" customHeight="1" x14ac:dyDescent="0.25"/>
    <row r="4263" ht="18" customHeight="1" x14ac:dyDescent="0.25"/>
    <row r="4264" ht="18" customHeight="1" x14ac:dyDescent="0.25"/>
    <row r="4265" ht="18" customHeight="1" x14ac:dyDescent="0.25"/>
    <row r="4266" ht="18" customHeight="1" x14ac:dyDescent="0.25"/>
    <row r="4267" ht="18" customHeight="1" x14ac:dyDescent="0.25"/>
    <row r="4268" ht="18" customHeight="1" x14ac:dyDescent="0.25"/>
    <row r="4269" ht="18" customHeight="1" x14ac:dyDescent="0.25"/>
    <row r="4270" ht="18" customHeight="1" x14ac:dyDescent="0.25"/>
    <row r="4271" ht="18" customHeight="1" x14ac:dyDescent="0.25"/>
    <row r="4272" ht="18" customHeight="1" x14ac:dyDescent="0.25"/>
    <row r="4273" ht="18" customHeight="1" x14ac:dyDescent="0.25"/>
    <row r="4274" ht="18" customHeight="1" x14ac:dyDescent="0.25"/>
    <row r="4275" ht="18" customHeight="1" x14ac:dyDescent="0.25"/>
    <row r="4276" ht="18" customHeight="1" x14ac:dyDescent="0.25"/>
    <row r="4277" ht="18" customHeight="1" x14ac:dyDescent="0.25"/>
    <row r="4278" ht="18" customHeight="1" x14ac:dyDescent="0.25"/>
    <row r="4279" ht="18" customHeight="1" x14ac:dyDescent="0.25"/>
    <row r="4280" ht="18" customHeight="1" x14ac:dyDescent="0.25"/>
    <row r="4281" ht="18" customHeight="1" x14ac:dyDescent="0.25"/>
    <row r="4282" ht="18" customHeight="1" x14ac:dyDescent="0.25"/>
    <row r="4283" ht="18" customHeight="1" x14ac:dyDescent="0.25"/>
    <row r="4284" ht="18" customHeight="1" x14ac:dyDescent="0.25"/>
    <row r="4285" ht="18" customHeight="1" x14ac:dyDescent="0.25"/>
    <row r="4286" ht="18" customHeight="1" x14ac:dyDescent="0.25"/>
    <row r="4287" ht="18" customHeight="1" x14ac:dyDescent="0.25"/>
    <row r="4288" ht="18" customHeight="1" x14ac:dyDescent="0.25"/>
    <row r="4289" ht="18" customHeight="1" x14ac:dyDescent="0.25"/>
    <row r="4290" ht="18" customHeight="1" x14ac:dyDescent="0.25"/>
    <row r="4291" ht="18" customHeight="1" x14ac:dyDescent="0.25"/>
    <row r="4292" ht="18" customHeight="1" x14ac:dyDescent="0.25"/>
    <row r="4293" ht="18" customHeight="1" x14ac:dyDescent="0.25"/>
    <row r="4294" ht="18" customHeight="1" x14ac:dyDescent="0.25"/>
    <row r="4295" ht="18" customHeight="1" x14ac:dyDescent="0.25"/>
    <row r="4296" ht="18" customHeight="1" x14ac:dyDescent="0.25"/>
    <row r="4297" ht="18" customHeight="1" x14ac:dyDescent="0.25"/>
    <row r="4298" ht="18" customHeight="1" x14ac:dyDescent="0.25"/>
    <row r="4299" ht="18" customHeight="1" x14ac:dyDescent="0.25"/>
    <row r="4300" ht="18" customHeight="1" x14ac:dyDescent="0.25"/>
    <row r="4301" ht="18" customHeight="1" x14ac:dyDescent="0.25"/>
    <row r="4302" ht="18" customHeight="1" x14ac:dyDescent="0.25"/>
    <row r="4303" ht="18" customHeight="1" x14ac:dyDescent="0.25"/>
    <row r="4304" ht="18" customHeight="1" x14ac:dyDescent="0.25"/>
    <row r="4305" ht="18" customHeight="1" x14ac:dyDescent="0.25"/>
    <row r="4306" ht="18" customHeight="1" x14ac:dyDescent="0.25"/>
    <row r="4307" ht="18" customHeight="1" x14ac:dyDescent="0.25"/>
    <row r="4308" ht="18" customHeight="1" x14ac:dyDescent="0.25"/>
    <row r="4309" ht="18" customHeight="1" x14ac:dyDescent="0.25"/>
    <row r="4310" ht="18" customHeight="1" x14ac:dyDescent="0.25"/>
    <row r="4311" ht="18" customHeight="1" x14ac:dyDescent="0.25"/>
    <row r="4312" ht="18" customHeight="1" x14ac:dyDescent="0.25"/>
    <row r="4313" ht="18" customHeight="1" x14ac:dyDescent="0.25"/>
    <row r="4314" ht="18" customHeight="1" x14ac:dyDescent="0.25"/>
    <row r="4315" ht="18" customHeight="1" x14ac:dyDescent="0.25"/>
    <row r="4316" ht="18" customHeight="1" x14ac:dyDescent="0.25"/>
    <row r="4317" ht="18" customHeight="1" x14ac:dyDescent="0.25"/>
    <row r="4318" ht="18" customHeight="1" x14ac:dyDescent="0.25"/>
    <row r="4319" ht="18" customHeight="1" x14ac:dyDescent="0.25"/>
    <row r="4320" ht="18" customHeight="1" x14ac:dyDescent="0.25"/>
    <row r="4321" ht="18" customHeight="1" x14ac:dyDescent="0.25"/>
    <row r="4322" ht="18" customHeight="1" x14ac:dyDescent="0.25"/>
    <row r="4323" ht="18" customHeight="1" x14ac:dyDescent="0.25"/>
    <row r="4324" ht="18" customHeight="1" x14ac:dyDescent="0.25"/>
    <row r="4325" ht="18" customHeight="1" x14ac:dyDescent="0.25"/>
    <row r="4326" ht="18" customHeight="1" x14ac:dyDescent="0.25"/>
    <row r="4327" ht="18" customHeight="1" x14ac:dyDescent="0.25"/>
    <row r="4328" ht="18" customHeight="1" x14ac:dyDescent="0.25"/>
    <row r="4329" ht="18" customHeight="1" x14ac:dyDescent="0.25"/>
    <row r="4330" ht="18" customHeight="1" x14ac:dyDescent="0.25"/>
    <row r="4331" ht="18" customHeight="1" x14ac:dyDescent="0.25"/>
    <row r="4332" ht="18" customHeight="1" x14ac:dyDescent="0.25"/>
    <row r="4333" ht="18" customHeight="1" x14ac:dyDescent="0.25"/>
    <row r="4334" ht="18" customHeight="1" x14ac:dyDescent="0.25"/>
    <row r="4335" ht="18" customHeight="1" x14ac:dyDescent="0.25"/>
    <row r="4336" ht="18" customHeight="1" x14ac:dyDescent="0.25"/>
    <row r="4337" ht="18" customHeight="1" x14ac:dyDescent="0.25"/>
    <row r="4338" ht="18" customHeight="1" x14ac:dyDescent="0.25"/>
    <row r="4339" ht="18" customHeight="1" x14ac:dyDescent="0.25"/>
    <row r="4340" ht="18" customHeight="1" x14ac:dyDescent="0.25"/>
    <row r="4341" ht="18" customHeight="1" x14ac:dyDescent="0.25"/>
    <row r="4342" ht="18" customHeight="1" x14ac:dyDescent="0.25"/>
    <row r="4343" ht="18" customHeight="1" x14ac:dyDescent="0.25"/>
    <row r="4344" ht="18" customHeight="1" x14ac:dyDescent="0.25"/>
    <row r="4345" ht="18" customHeight="1" x14ac:dyDescent="0.25"/>
    <row r="4346" ht="18" customHeight="1" x14ac:dyDescent="0.25"/>
    <row r="4347" ht="18" customHeight="1" x14ac:dyDescent="0.25"/>
    <row r="4348" ht="18" customHeight="1" x14ac:dyDescent="0.25"/>
    <row r="4349" ht="18" customHeight="1" x14ac:dyDescent="0.25"/>
    <row r="4350" ht="18" customHeight="1" x14ac:dyDescent="0.25"/>
    <row r="4351" ht="18" customHeight="1" x14ac:dyDescent="0.25"/>
    <row r="4352" ht="18" customHeight="1" x14ac:dyDescent="0.25"/>
    <row r="4353" ht="18" customHeight="1" x14ac:dyDescent="0.25"/>
    <row r="4354" ht="18" customHeight="1" x14ac:dyDescent="0.25"/>
    <row r="4355" ht="18" customHeight="1" x14ac:dyDescent="0.25"/>
    <row r="4356" ht="18" customHeight="1" x14ac:dyDescent="0.25"/>
    <row r="4357" ht="18" customHeight="1" x14ac:dyDescent="0.25"/>
    <row r="4358" ht="18" customHeight="1" x14ac:dyDescent="0.25"/>
    <row r="4359" ht="18" customHeight="1" x14ac:dyDescent="0.25"/>
    <row r="4360" ht="18" customHeight="1" x14ac:dyDescent="0.25"/>
    <row r="4361" ht="18" customHeight="1" x14ac:dyDescent="0.25"/>
    <row r="4362" ht="18" customHeight="1" x14ac:dyDescent="0.25"/>
    <row r="4363" ht="18" customHeight="1" x14ac:dyDescent="0.25"/>
    <row r="4364" ht="18" customHeight="1" x14ac:dyDescent="0.25"/>
    <row r="4365" ht="18" customHeight="1" x14ac:dyDescent="0.25"/>
    <row r="4366" ht="18" customHeight="1" x14ac:dyDescent="0.25"/>
    <row r="4367" ht="18" customHeight="1" x14ac:dyDescent="0.25"/>
    <row r="4368" ht="18" customHeight="1" x14ac:dyDescent="0.25"/>
    <row r="4369" ht="18" customHeight="1" x14ac:dyDescent="0.25"/>
    <row r="4370" ht="18" customHeight="1" x14ac:dyDescent="0.25"/>
    <row r="4371" ht="18" customHeight="1" x14ac:dyDescent="0.25"/>
    <row r="4372" ht="18" customHeight="1" x14ac:dyDescent="0.25"/>
    <row r="4373" ht="18" customHeight="1" x14ac:dyDescent="0.25"/>
    <row r="4374" ht="18" customHeight="1" x14ac:dyDescent="0.25"/>
    <row r="4375" ht="18" customHeight="1" x14ac:dyDescent="0.25"/>
    <row r="4376" ht="18" customHeight="1" x14ac:dyDescent="0.25"/>
    <row r="4377" ht="18" customHeight="1" x14ac:dyDescent="0.25"/>
    <row r="4378" ht="18" customHeight="1" x14ac:dyDescent="0.25"/>
    <row r="4379" ht="18" customHeight="1" x14ac:dyDescent="0.25"/>
    <row r="4380" ht="18" customHeight="1" x14ac:dyDescent="0.25"/>
    <row r="4381" ht="18" customHeight="1" x14ac:dyDescent="0.25"/>
    <row r="4382" ht="18" customHeight="1" x14ac:dyDescent="0.25"/>
    <row r="4383" ht="18" customHeight="1" x14ac:dyDescent="0.25"/>
    <row r="4384" ht="18" customHeight="1" x14ac:dyDescent="0.25"/>
    <row r="4385" ht="18" customHeight="1" x14ac:dyDescent="0.25"/>
    <row r="4386" ht="18" customHeight="1" x14ac:dyDescent="0.25"/>
    <row r="4387" ht="18" customHeight="1" x14ac:dyDescent="0.25"/>
    <row r="4388" ht="18" customHeight="1" x14ac:dyDescent="0.25"/>
    <row r="4389" ht="18" customHeight="1" x14ac:dyDescent="0.25"/>
    <row r="4390" ht="18" customHeight="1" x14ac:dyDescent="0.25"/>
    <row r="4391" ht="18" customHeight="1" x14ac:dyDescent="0.25"/>
    <row r="4392" ht="18" customHeight="1" x14ac:dyDescent="0.25"/>
    <row r="4393" ht="18" customHeight="1" x14ac:dyDescent="0.25"/>
    <row r="4394" ht="18" customHeight="1" x14ac:dyDescent="0.25"/>
    <row r="4395" ht="18" customHeight="1" x14ac:dyDescent="0.25"/>
    <row r="4396" ht="18" customHeight="1" x14ac:dyDescent="0.25"/>
    <row r="4397" ht="18" customHeight="1" x14ac:dyDescent="0.25"/>
    <row r="4398" ht="18" customHeight="1" x14ac:dyDescent="0.25"/>
    <row r="4399" ht="18" customHeight="1" x14ac:dyDescent="0.25"/>
    <row r="4400" ht="18" customHeight="1" x14ac:dyDescent="0.25"/>
    <row r="4401" ht="18" customHeight="1" x14ac:dyDescent="0.25"/>
    <row r="4402" ht="18" customHeight="1" x14ac:dyDescent="0.25"/>
    <row r="4403" ht="18" customHeight="1" x14ac:dyDescent="0.25"/>
    <row r="4404" ht="18" customHeight="1" x14ac:dyDescent="0.25"/>
    <row r="4405" ht="18" customHeight="1" x14ac:dyDescent="0.25"/>
    <row r="4406" ht="18" customHeight="1" x14ac:dyDescent="0.25"/>
    <row r="4407" ht="18" customHeight="1" x14ac:dyDescent="0.25"/>
    <row r="4408" ht="18" customHeight="1" x14ac:dyDescent="0.25"/>
    <row r="4409" ht="18" customHeight="1" x14ac:dyDescent="0.25"/>
    <row r="4410" ht="18" customHeight="1" x14ac:dyDescent="0.25"/>
    <row r="4411" ht="18" customHeight="1" x14ac:dyDescent="0.25"/>
    <row r="4412" ht="18" customHeight="1" x14ac:dyDescent="0.25"/>
    <row r="4413" ht="18" customHeight="1" x14ac:dyDescent="0.25"/>
    <row r="4414" ht="18" customHeight="1" x14ac:dyDescent="0.25"/>
    <row r="4415" ht="18" customHeight="1" x14ac:dyDescent="0.25"/>
    <row r="4416" ht="18" customHeight="1" x14ac:dyDescent="0.25"/>
    <row r="4417" ht="18" customHeight="1" x14ac:dyDescent="0.25"/>
    <row r="4418" ht="18" customHeight="1" x14ac:dyDescent="0.25"/>
    <row r="4419" ht="18" customHeight="1" x14ac:dyDescent="0.25"/>
    <row r="4420" ht="18" customHeight="1" x14ac:dyDescent="0.25"/>
    <row r="4421" ht="18" customHeight="1" x14ac:dyDescent="0.25"/>
    <row r="4422" ht="18" customHeight="1" x14ac:dyDescent="0.25"/>
    <row r="4423" ht="18" customHeight="1" x14ac:dyDescent="0.25"/>
    <row r="4424" ht="18" customHeight="1" x14ac:dyDescent="0.25"/>
    <row r="4425" ht="18" customHeight="1" x14ac:dyDescent="0.25"/>
    <row r="4426" ht="18" customHeight="1" x14ac:dyDescent="0.25"/>
    <row r="4427" ht="18" customHeight="1" x14ac:dyDescent="0.25"/>
    <row r="4428" ht="18" customHeight="1" x14ac:dyDescent="0.25"/>
    <row r="4429" ht="18" customHeight="1" x14ac:dyDescent="0.25"/>
    <row r="4430" ht="18" customHeight="1" x14ac:dyDescent="0.25"/>
    <row r="4431" ht="18" customHeight="1" x14ac:dyDescent="0.25"/>
    <row r="4432" ht="18" customHeight="1" x14ac:dyDescent="0.25"/>
    <row r="4433" ht="18" customHeight="1" x14ac:dyDescent="0.25"/>
    <row r="4434" ht="18" customHeight="1" x14ac:dyDescent="0.25"/>
    <row r="4435" ht="18" customHeight="1" x14ac:dyDescent="0.25"/>
    <row r="4436" ht="18" customHeight="1" x14ac:dyDescent="0.25"/>
    <row r="4437" ht="18" customHeight="1" x14ac:dyDescent="0.25"/>
    <row r="4438" ht="18" customHeight="1" x14ac:dyDescent="0.25"/>
    <row r="4439" ht="18" customHeight="1" x14ac:dyDescent="0.25"/>
    <row r="4440" ht="18" customHeight="1" x14ac:dyDescent="0.25"/>
    <row r="4441" ht="18" customHeight="1" x14ac:dyDescent="0.25"/>
    <row r="4442" ht="18" customHeight="1" x14ac:dyDescent="0.25"/>
    <row r="4443" ht="18" customHeight="1" x14ac:dyDescent="0.25"/>
    <row r="4444" ht="18" customHeight="1" x14ac:dyDescent="0.25"/>
    <row r="4445" ht="18" customHeight="1" x14ac:dyDescent="0.25"/>
    <row r="4446" ht="18" customHeight="1" x14ac:dyDescent="0.25"/>
    <row r="4447" ht="18" customHeight="1" x14ac:dyDescent="0.25"/>
    <row r="4448" ht="18" customHeight="1" x14ac:dyDescent="0.25"/>
    <row r="4449" ht="18" customHeight="1" x14ac:dyDescent="0.25"/>
    <row r="4450" ht="18" customHeight="1" x14ac:dyDescent="0.25"/>
    <row r="4451" ht="18" customHeight="1" x14ac:dyDescent="0.25"/>
    <row r="4452" ht="18" customHeight="1" x14ac:dyDescent="0.25"/>
    <row r="4453" ht="18" customHeight="1" x14ac:dyDescent="0.25"/>
    <row r="4454" ht="18" customHeight="1" x14ac:dyDescent="0.25"/>
    <row r="4455" ht="18" customHeight="1" x14ac:dyDescent="0.25"/>
    <row r="4456" ht="18" customHeight="1" x14ac:dyDescent="0.25"/>
    <row r="4457" ht="18" customHeight="1" x14ac:dyDescent="0.25"/>
    <row r="4458" ht="18" customHeight="1" x14ac:dyDescent="0.25"/>
    <row r="4459" ht="18" customHeight="1" x14ac:dyDescent="0.25"/>
    <row r="4460" ht="18" customHeight="1" x14ac:dyDescent="0.25"/>
    <row r="4461" ht="18" customHeight="1" x14ac:dyDescent="0.25"/>
    <row r="4462" ht="18" customHeight="1" x14ac:dyDescent="0.25"/>
    <row r="4463" ht="18" customHeight="1" x14ac:dyDescent="0.25"/>
    <row r="4464" ht="18" customHeight="1" x14ac:dyDescent="0.25"/>
    <row r="4465" ht="18" customHeight="1" x14ac:dyDescent="0.25"/>
    <row r="4466" ht="18" customHeight="1" x14ac:dyDescent="0.25"/>
    <row r="4467" ht="18" customHeight="1" x14ac:dyDescent="0.25"/>
    <row r="4468" ht="18" customHeight="1" x14ac:dyDescent="0.25"/>
    <row r="4469" ht="18" customHeight="1" x14ac:dyDescent="0.25"/>
    <row r="4470" ht="18" customHeight="1" x14ac:dyDescent="0.25"/>
    <row r="4471" ht="18" customHeight="1" x14ac:dyDescent="0.25"/>
    <row r="4472" ht="18" customHeight="1" x14ac:dyDescent="0.25"/>
    <row r="4473" ht="18" customHeight="1" x14ac:dyDescent="0.25"/>
    <row r="4474" ht="18" customHeight="1" x14ac:dyDescent="0.25"/>
    <row r="4475" ht="18" customHeight="1" x14ac:dyDescent="0.25"/>
    <row r="4476" ht="18" customHeight="1" x14ac:dyDescent="0.25"/>
    <row r="4477" ht="18" customHeight="1" x14ac:dyDescent="0.25"/>
    <row r="4478" ht="18" customHeight="1" x14ac:dyDescent="0.25"/>
    <row r="4479" ht="18" customHeight="1" x14ac:dyDescent="0.25"/>
    <row r="4480" ht="18" customHeight="1" x14ac:dyDescent="0.25"/>
    <row r="4481" ht="18" customHeight="1" x14ac:dyDescent="0.25"/>
    <row r="4482" ht="18" customHeight="1" x14ac:dyDescent="0.25"/>
    <row r="4483" ht="18" customHeight="1" x14ac:dyDescent="0.25"/>
    <row r="4484" ht="18" customHeight="1" x14ac:dyDescent="0.25"/>
    <row r="4485" ht="18" customHeight="1" x14ac:dyDescent="0.25"/>
    <row r="4486" ht="18" customHeight="1" x14ac:dyDescent="0.25"/>
    <row r="4487" ht="18" customHeight="1" x14ac:dyDescent="0.25"/>
    <row r="4488" ht="18" customHeight="1" x14ac:dyDescent="0.25"/>
    <row r="4489" ht="18" customHeight="1" x14ac:dyDescent="0.25"/>
    <row r="4490" ht="18" customHeight="1" x14ac:dyDescent="0.25"/>
    <row r="4491" ht="18" customHeight="1" x14ac:dyDescent="0.25"/>
    <row r="4492" ht="18" customHeight="1" x14ac:dyDescent="0.25"/>
    <row r="4493" ht="18" customHeight="1" x14ac:dyDescent="0.25"/>
    <row r="4494" ht="18" customHeight="1" x14ac:dyDescent="0.25"/>
    <row r="4495" ht="18" customHeight="1" x14ac:dyDescent="0.25"/>
    <row r="4496" ht="18" customHeight="1" x14ac:dyDescent="0.25"/>
    <row r="4497" ht="18" customHeight="1" x14ac:dyDescent="0.25"/>
    <row r="4498" ht="18" customHeight="1" x14ac:dyDescent="0.25"/>
    <row r="4499" ht="18" customHeight="1" x14ac:dyDescent="0.25"/>
    <row r="4500" ht="18" customHeight="1" x14ac:dyDescent="0.25"/>
    <row r="4501" ht="18" customHeight="1" x14ac:dyDescent="0.25"/>
    <row r="4502" ht="18" customHeight="1" x14ac:dyDescent="0.25"/>
    <row r="4503" ht="18" customHeight="1" x14ac:dyDescent="0.25"/>
    <row r="4504" ht="18" customHeight="1" x14ac:dyDescent="0.25"/>
    <row r="4505" ht="18" customHeight="1" x14ac:dyDescent="0.25"/>
    <row r="4506" ht="18" customHeight="1" x14ac:dyDescent="0.25"/>
    <row r="4507" ht="18" customHeight="1" x14ac:dyDescent="0.25"/>
    <row r="4508" ht="18" customHeight="1" x14ac:dyDescent="0.25"/>
    <row r="4509" ht="18" customHeight="1" x14ac:dyDescent="0.25"/>
    <row r="4510" ht="18" customHeight="1" x14ac:dyDescent="0.25"/>
    <row r="4511" ht="18" customHeight="1" x14ac:dyDescent="0.25"/>
    <row r="4512" ht="18" customHeight="1" x14ac:dyDescent="0.25"/>
    <row r="4513" ht="18" customHeight="1" x14ac:dyDescent="0.25"/>
    <row r="4514" ht="18" customHeight="1" x14ac:dyDescent="0.25"/>
    <row r="4515" ht="18" customHeight="1" x14ac:dyDescent="0.25"/>
    <row r="4516" ht="18" customHeight="1" x14ac:dyDescent="0.25"/>
    <row r="4517" ht="18" customHeight="1" x14ac:dyDescent="0.25"/>
    <row r="4518" ht="18" customHeight="1" x14ac:dyDescent="0.25"/>
    <row r="4519" ht="18" customHeight="1" x14ac:dyDescent="0.25"/>
    <row r="4520" ht="18" customHeight="1" x14ac:dyDescent="0.25"/>
    <row r="4521" ht="18" customHeight="1" x14ac:dyDescent="0.25"/>
    <row r="4522" ht="18" customHeight="1" x14ac:dyDescent="0.25"/>
    <row r="4523" ht="18" customHeight="1" x14ac:dyDescent="0.25"/>
    <row r="4524" ht="18" customHeight="1" x14ac:dyDescent="0.25"/>
    <row r="4525" ht="18" customHeight="1" x14ac:dyDescent="0.25"/>
    <row r="4526" ht="18" customHeight="1" x14ac:dyDescent="0.25"/>
    <row r="4527" ht="18" customHeight="1" x14ac:dyDescent="0.25"/>
    <row r="4528" ht="18" customHeight="1" x14ac:dyDescent="0.25"/>
    <row r="4529" ht="18" customHeight="1" x14ac:dyDescent="0.25"/>
    <row r="4530" ht="18" customHeight="1" x14ac:dyDescent="0.25"/>
    <row r="4531" ht="18" customHeight="1" x14ac:dyDescent="0.25"/>
    <row r="4532" ht="18" customHeight="1" x14ac:dyDescent="0.25"/>
    <row r="4533" ht="18" customHeight="1" x14ac:dyDescent="0.25"/>
    <row r="4534" ht="18" customHeight="1" x14ac:dyDescent="0.25"/>
    <row r="4535" ht="18" customHeight="1" x14ac:dyDescent="0.25"/>
    <row r="4536" ht="18" customHeight="1" x14ac:dyDescent="0.25"/>
    <row r="4537" ht="18" customHeight="1" x14ac:dyDescent="0.25"/>
    <row r="4538" ht="18" customHeight="1" x14ac:dyDescent="0.25"/>
    <row r="4539" ht="18" customHeight="1" x14ac:dyDescent="0.25"/>
    <row r="4540" ht="18" customHeight="1" x14ac:dyDescent="0.25"/>
    <row r="4541" ht="18" customHeight="1" x14ac:dyDescent="0.25"/>
    <row r="4542" ht="18" customHeight="1" x14ac:dyDescent="0.25"/>
    <row r="4543" ht="18" customHeight="1" x14ac:dyDescent="0.25"/>
    <row r="4544" ht="18" customHeight="1" x14ac:dyDescent="0.25"/>
    <row r="4545" ht="18" customHeight="1" x14ac:dyDescent="0.25"/>
    <row r="4546" ht="18" customHeight="1" x14ac:dyDescent="0.25"/>
    <row r="4547" ht="18" customHeight="1" x14ac:dyDescent="0.25"/>
    <row r="4548" ht="18" customHeight="1" x14ac:dyDescent="0.25"/>
    <row r="4549" ht="18" customHeight="1" x14ac:dyDescent="0.25"/>
    <row r="4550" ht="18" customHeight="1" x14ac:dyDescent="0.25"/>
    <row r="4551" ht="18" customHeight="1" x14ac:dyDescent="0.25"/>
    <row r="4552" ht="18" customHeight="1" x14ac:dyDescent="0.25"/>
    <row r="4553" ht="18" customHeight="1" x14ac:dyDescent="0.25"/>
    <row r="4554" ht="18" customHeight="1" x14ac:dyDescent="0.25"/>
    <row r="4555" ht="18" customHeight="1" x14ac:dyDescent="0.25"/>
    <row r="4556" ht="18" customHeight="1" x14ac:dyDescent="0.25"/>
    <row r="4557" ht="18" customHeight="1" x14ac:dyDescent="0.25"/>
    <row r="4558" ht="18" customHeight="1" x14ac:dyDescent="0.25"/>
    <row r="4559" ht="18" customHeight="1" x14ac:dyDescent="0.25"/>
    <row r="4560" ht="18" customHeight="1" x14ac:dyDescent="0.25"/>
    <row r="4561" ht="18" customHeight="1" x14ac:dyDescent="0.25"/>
    <row r="4562" ht="18" customHeight="1" x14ac:dyDescent="0.25"/>
    <row r="4563" ht="18" customHeight="1" x14ac:dyDescent="0.25"/>
    <row r="4564" ht="18" customHeight="1" x14ac:dyDescent="0.25"/>
    <row r="4565" ht="18" customHeight="1" x14ac:dyDescent="0.25"/>
    <row r="4566" ht="18" customHeight="1" x14ac:dyDescent="0.25"/>
    <row r="4567" ht="18" customHeight="1" x14ac:dyDescent="0.25"/>
    <row r="4568" ht="18" customHeight="1" x14ac:dyDescent="0.25"/>
    <row r="4569" ht="18" customHeight="1" x14ac:dyDescent="0.25"/>
    <row r="4570" ht="18" customHeight="1" x14ac:dyDescent="0.25"/>
    <row r="4571" ht="18" customHeight="1" x14ac:dyDescent="0.25"/>
    <row r="4572" ht="18" customHeight="1" x14ac:dyDescent="0.25"/>
    <row r="4573" ht="18" customHeight="1" x14ac:dyDescent="0.25"/>
    <row r="4574" ht="18" customHeight="1" x14ac:dyDescent="0.25"/>
    <row r="4575" ht="18" customHeight="1" x14ac:dyDescent="0.25"/>
    <row r="4576" ht="18" customHeight="1" x14ac:dyDescent="0.25"/>
    <row r="4577" ht="18" customHeight="1" x14ac:dyDescent="0.25"/>
    <row r="4578" ht="18" customHeight="1" x14ac:dyDescent="0.25"/>
    <row r="4579" ht="18" customHeight="1" x14ac:dyDescent="0.25"/>
    <row r="4580" ht="18" customHeight="1" x14ac:dyDescent="0.25"/>
    <row r="4581" ht="18" customHeight="1" x14ac:dyDescent="0.25"/>
    <row r="4582" ht="18" customHeight="1" x14ac:dyDescent="0.25"/>
    <row r="4583" ht="18" customHeight="1" x14ac:dyDescent="0.25"/>
    <row r="4584" ht="18" customHeight="1" x14ac:dyDescent="0.25"/>
    <row r="4585" ht="18" customHeight="1" x14ac:dyDescent="0.25"/>
    <row r="4586" ht="18" customHeight="1" x14ac:dyDescent="0.25"/>
    <row r="4587" ht="18" customHeight="1" x14ac:dyDescent="0.25"/>
    <row r="4588" ht="18" customHeight="1" x14ac:dyDescent="0.25"/>
    <row r="4589" ht="18" customHeight="1" x14ac:dyDescent="0.25"/>
    <row r="4590" ht="18" customHeight="1" x14ac:dyDescent="0.25"/>
    <row r="4591" ht="18" customHeight="1" x14ac:dyDescent="0.25"/>
    <row r="4592" ht="18" customHeight="1" x14ac:dyDescent="0.25"/>
    <row r="4593" ht="18" customHeight="1" x14ac:dyDescent="0.25"/>
    <row r="4594" ht="18" customHeight="1" x14ac:dyDescent="0.25"/>
    <row r="4595" ht="18" customHeight="1" x14ac:dyDescent="0.25"/>
    <row r="4596" ht="18" customHeight="1" x14ac:dyDescent="0.25"/>
    <row r="4597" ht="18" customHeight="1" x14ac:dyDescent="0.25"/>
    <row r="4598" ht="18" customHeight="1" x14ac:dyDescent="0.25"/>
    <row r="4599" ht="18" customHeight="1" x14ac:dyDescent="0.25"/>
    <row r="4600" ht="18" customHeight="1" x14ac:dyDescent="0.25"/>
    <row r="4601" ht="18" customHeight="1" x14ac:dyDescent="0.25"/>
    <row r="4602" ht="18" customHeight="1" x14ac:dyDescent="0.25"/>
    <row r="4603" ht="18" customHeight="1" x14ac:dyDescent="0.25"/>
    <row r="4604" ht="18" customHeight="1" x14ac:dyDescent="0.25"/>
    <row r="4605" ht="18" customHeight="1" x14ac:dyDescent="0.25"/>
    <row r="4606" ht="18" customHeight="1" x14ac:dyDescent="0.25"/>
    <row r="4607" ht="18" customHeight="1" x14ac:dyDescent="0.25"/>
    <row r="4608" ht="18" customHeight="1" x14ac:dyDescent="0.25"/>
    <row r="4609" ht="18" customHeight="1" x14ac:dyDescent="0.25"/>
    <row r="4610" ht="18" customHeight="1" x14ac:dyDescent="0.25"/>
    <row r="4611" ht="18" customHeight="1" x14ac:dyDescent="0.25"/>
    <row r="4612" ht="18" customHeight="1" x14ac:dyDescent="0.25"/>
    <row r="4613" ht="18" customHeight="1" x14ac:dyDescent="0.25"/>
    <row r="4614" ht="18" customHeight="1" x14ac:dyDescent="0.25"/>
    <row r="4615" ht="18" customHeight="1" x14ac:dyDescent="0.25"/>
    <row r="4616" ht="18" customHeight="1" x14ac:dyDescent="0.25"/>
    <row r="4617" ht="18" customHeight="1" x14ac:dyDescent="0.25"/>
    <row r="4618" ht="18" customHeight="1" x14ac:dyDescent="0.25"/>
    <row r="4619" ht="18" customHeight="1" x14ac:dyDescent="0.25"/>
    <row r="4620" ht="18" customHeight="1" x14ac:dyDescent="0.25"/>
    <row r="4621" ht="18" customHeight="1" x14ac:dyDescent="0.25"/>
    <row r="4622" ht="18" customHeight="1" x14ac:dyDescent="0.25"/>
    <row r="4623" ht="18" customHeight="1" x14ac:dyDescent="0.25"/>
    <row r="4624" ht="18" customHeight="1" x14ac:dyDescent="0.25"/>
    <row r="4625" ht="18" customHeight="1" x14ac:dyDescent="0.25"/>
    <row r="4626" ht="18" customHeight="1" x14ac:dyDescent="0.25"/>
    <row r="4627" ht="18" customHeight="1" x14ac:dyDescent="0.25"/>
    <row r="4628" ht="18" customHeight="1" x14ac:dyDescent="0.25"/>
    <row r="4629" ht="18" customHeight="1" x14ac:dyDescent="0.25"/>
    <row r="4630" ht="18" customHeight="1" x14ac:dyDescent="0.25"/>
    <row r="4631" ht="18" customHeight="1" x14ac:dyDescent="0.25"/>
    <row r="4632" ht="18" customHeight="1" x14ac:dyDescent="0.25"/>
    <row r="4633" ht="18" customHeight="1" x14ac:dyDescent="0.25"/>
    <row r="4634" ht="18" customHeight="1" x14ac:dyDescent="0.25"/>
    <row r="4635" ht="18" customHeight="1" x14ac:dyDescent="0.25"/>
    <row r="4636" ht="18" customHeight="1" x14ac:dyDescent="0.25"/>
    <row r="4637" ht="18" customHeight="1" x14ac:dyDescent="0.25"/>
    <row r="4638" ht="18" customHeight="1" x14ac:dyDescent="0.25"/>
    <row r="4639" ht="18" customHeight="1" x14ac:dyDescent="0.25"/>
    <row r="4640" ht="18" customHeight="1" x14ac:dyDescent="0.25"/>
    <row r="4641" ht="18" customHeight="1" x14ac:dyDescent="0.25"/>
    <row r="4642" ht="18" customHeight="1" x14ac:dyDescent="0.25"/>
    <row r="4643" ht="18" customHeight="1" x14ac:dyDescent="0.25"/>
    <row r="4644" ht="18" customHeight="1" x14ac:dyDescent="0.25"/>
    <row r="4645" ht="18" customHeight="1" x14ac:dyDescent="0.25"/>
    <row r="4646" ht="18" customHeight="1" x14ac:dyDescent="0.25"/>
    <row r="4647" ht="18" customHeight="1" x14ac:dyDescent="0.25"/>
    <row r="4648" ht="18" customHeight="1" x14ac:dyDescent="0.25"/>
    <row r="4649" ht="18" customHeight="1" x14ac:dyDescent="0.25"/>
    <row r="4650" ht="18" customHeight="1" x14ac:dyDescent="0.25"/>
    <row r="4651" ht="18" customHeight="1" x14ac:dyDescent="0.25"/>
    <row r="4652" ht="18" customHeight="1" x14ac:dyDescent="0.25"/>
    <row r="4653" ht="18" customHeight="1" x14ac:dyDescent="0.25"/>
    <row r="4654" ht="18" customHeight="1" x14ac:dyDescent="0.25"/>
    <row r="4655" ht="18" customHeight="1" x14ac:dyDescent="0.25"/>
    <row r="4656" ht="18" customHeight="1" x14ac:dyDescent="0.25"/>
    <row r="4657" ht="18" customHeight="1" x14ac:dyDescent="0.25"/>
    <row r="4658" ht="18" customHeight="1" x14ac:dyDescent="0.25"/>
    <row r="4659" ht="18" customHeight="1" x14ac:dyDescent="0.25"/>
    <row r="4660" ht="18" customHeight="1" x14ac:dyDescent="0.25"/>
    <row r="4661" ht="18" customHeight="1" x14ac:dyDescent="0.25"/>
    <row r="4662" ht="18" customHeight="1" x14ac:dyDescent="0.25"/>
    <row r="4663" ht="18" customHeight="1" x14ac:dyDescent="0.25"/>
    <row r="4664" ht="18" customHeight="1" x14ac:dyDescent="0.25"/>
    <row r="4665" ht="18" customHeight="1" x14ac:dyDescent="0.25"/>
    <row r="4666" ht="18" customHeight="1" x14ac:dyDescent="0.25"/>
    <row r="4667" ht="18" customHeight="1" x14ac:dyDescent="0.25"/>
    <row r="4668" ht="18" customHeight="1" x14ac:dyDescent="0.25"/>
    <row r="4669" ht="18" customHeight="1" x14ac:dyDescent="0.25"/>
    <row r="4670" ht="18" customHeight="1" x14ac:dyDescent="0.25"/>
    <row r="4671" ht="18" customHeight="1" x14ac:dyDescent="0.25"/>
    <row r="4672" ht="18" customHeight="1" x14ac:dyDescent="0.25"/>
    <row r="4673" ht="18" customHeight="1" x14ac:dyDescent="0.25"/>
    <row r="4674" ht="18" customHeight="1" x14ac:dyDescent="0.25"/>
    <row r="4675" ht="18" customHeight="1" x14ac:dyDescent="0.25"/>
    <row r="4676" ht="18" customHeight="1" x14ac:dyDescent="0.25"/>
    <row r="4677" ht="18" customHeight="1" x14ac:dyDescent="0.25"/>
    <row r="4678" ht="18" customHeight="1" x14ac:dyDescent="0.25"/>
    <row r="4679" ht="18" customHeight="1" x14ac:dyDescent="0.25"/>
    <row r="4680" ht="18" customHeight="1" x14ac:dyDescent="0.25"/>
    <row r="4681" ht="18" customHeight="1" x14ac:dyDescent="0.25"/>
    <row r="4682" ht="18" customHeight="1" x14ac:dyDescent="0.25"/>
    <row r="4683" ht="18" customHeight="1" x14ac:dyDescent="0.25"/>
    <row r="4684" ht="18" customHeight="1" x14ac:dyDescent="0.25"/>
    <row r="4685" ht="18" customHeight="1" x14ac:dyDescent="0.25"/>
    <row r="4686" ht="18" customHeight="1" x14ac:dyDescent="0.25"/>
    <row r="4687" ht="18" customHeight="1" x14ac:dyDescent="0.25"/>
    <row r="4688" ht="18" customHeight="1" x14ac:dyDescent="0.25"/>
    <row r="4689" ht="18" customHeight="1" x14ac:dyDescent="0.25"/>
    <row r="4690" ht="18" customHeight="1" x14ac:dyDescent="0.25"/>
    <row r="4691" ht="18" customHeight="1" x14ac:dyDescent="0.25"/>
    <row r="4692" ht="18" customHeight="1" x14ac:dyDescent="0.25"/>
    <row r="4693" ht="18" customHeight="1" x14ac:dyDescent="0.25"/>
    <row r="4694" ht="18" customHeight="1" x14ac:dyDescent="0.25"/>
    <row r="4695" ht="18" customHeight="1" x14ac:dyDescent="0.25"/>
    <row r="4696" ht="18" customHeight="1" x14ac:dyDescent="0.25"/>
    <row r="4697" ht="18" customHeight="1" x14ac:dyDescent="0.25"/>
    <row r="4698" ht="18" customHeight="1" x14ac:dyDescent="0.25"/>
    <row r="4699" ht="18" customHeight="1" x14ac:dyDescent="0.25"/>
    <row r="4700" ht="18" customHeight="1" x14ac:dyDescent="0.25"/>
    <row r="4701" ht="18" customHeight="1" x14ac:dyDescent="0.25"/>
    <row r="4702" ht="18" customHeight="1" x14ac:dyDescent="0.25"/>
    <row r="4703" ht="18" customHeight="1" x14ac:dyDescent="0.25"/>
    <row r="4704" ht="18" customHeight="1" x14ac:dyDescent="0.25"/>
    <row r="4705" ht="18" customHeight="1" x14ac:dyDescent="0.25"/>
    <row r="4706" ht="18" customHeight="1" x14ac:dyDescent="0.25"/>
    <row r="4707" ht="18" customHeight="1" x14ac:dyDescent="0.25"/>
    <row r="4708" ht="18" customHeight="1" x14ac:dyDescent="0.25"/>
    <row r="4709" ht="18" customHeight="1" x14ac:dyDescent="0.25"/>
    <row r="4710" ht="18" customHeight="1" x14ac:dyDescent="0.25"/>
    <row r="4711" ht="18" customHeight="1" x14ac:dyDescent="0.25"/>
    <row r="4712" ht="18" customHeight="1" x14ac:dyDescent="0.25"/>
    <row r="4713" ht="18" customHeight="1" x14ac:dyDescent="0.25"/>
    <row r="4714" ht="18" customHeight="1" x14ac:dyDescent="0.25"/>
    <row r="4715" ht="18" customHeight="1" x14ac:dyDescent="0.25"/>
    <row r="4716" ht="18" customHeight="1" x14ac:dyDescent="0.25"/>
    <row r="4717" ht="18" customHeight="1" x14ac:dyDescent="0.25"/>
    <row r="4718" ht="18" customHeight="1" x14ac:dyDescent="0.25"/>
    <row r="4719" ht="18" customHeight="1" x14ac:dyDescent="0.25"/>
    <row r="4720" ht="18" customHeight="1" x14ac:dyDescent="0.25"/>
    <row r="4721" ht="18" customHeight="1" x14ac:dyDescent="0.25"/>
    <row r="4722" ht="18" customHeight="1" x14ac:dyDescent="0.25"/>
    <row r="4723" ht="18" customHeight="1" x14ac:dyDescent="0.25"/>
    <row r="4724" ht="18" customHeight="1" x14ac:dyDescent="0.25"/>
    <row r="4725" ht="18" customHeight="1" x14ac:dyDescent="0.25"/>
    <row r="4726" ht="18" customHeight="1" x14ac:dyDescent="0.25"/>
    <row r="4727" ht="18" customHeight="1" x14ac:dyDescent="0.25"/>
    <row r="4728" ht="18" customHeight="1" x14ac:dyDescent="0.25"/>
    <row r="4729" ht="18" customHeight="1" x14ac:dyDescent="0.25"/>
    <row r="4730" ht="18" customHeight="1" x14ac:dyDescent="0.25"/>
    <row r="4731" ht="18" customHeight="1" x14ac:dyDescent="0.25"/>
    <row r="4732" ht="18" customHeight="1" x14ac:dyDescent="0.25"/>
    <row r="4733" ht="18" customHeight="1" x14ac:dyDescent="0.25"/>
    <row r="4734" ht="18" customHeight="1" x14ac:dyDescent="0.25"/>
    <row r="4735" ht="18" customHeight="1" x14ac:dyDescent="0.25"/>
    <row r="4736" ht="18" customHeight="1" x14ac:dyDescent="0.25"/>
    <row r="4737" ht="18" customHeight="1" x14ac:dyDescent="0.25"/>
    <row r="4738" ht="18" customHeight="1" x14ac:dyDescent="0.25"/>
    <row r="4739" ht="18" customHeight="1" x14ac:dyDescent="0.25"/>
    <row r="4740" ht="18" customHeight="1" x14ac:dyDescent="0.25"/>
    <row r="4741" ht="18" customHeight="1" x14ac:dyDescent="0.25"/>
    <row r="4742" ht="18" customHeight="1" x14ac:dyDescent="0.25"/>
    <row r="4743" ht="18" customHeight="1" x14ac:dyDescent="0.25"/>
    <row r="4744" ht="18" customHeight="1" x14ac:dyDescent="0.25"/>
    <row r="4745" ht="18" customHeight="1" x14ac:dyDescent="0.25"/>
    <row r="4746" ht="18" customHeight="1" x14ac:dyDescent="0.25"/>
    <row r="4747" ht="18" customHeight="1" x14ac:dyDescent="0.25"/>
    <row r="4748" ht="18" customHeight="1" x14ac:dyDescent="0.25"/>
    <row r="4749" ht="18" customHeight="1" x14ac:dyDescent="0.25"/>
    <row r="4750" ht="18" customHeight="1" x14ac:dyDescent="0.25"/>
    <row r="4751" ht="18" customHeight="1" x14ac:dyDescent="0.25"/>
    <row r="4752" ht="18" customHeight="1" x14ac:dyDescent="0.25"/>
    <row r="4753" ht="18" customHeight="1" x14ac:dyDescent="0.25"/>
    <row r="4754" ht="18" customHeight="1" x14ac:dyDescent="0.25"/>
    <row r="4755" ht="18" customHeight="1" x14ac:dyDescent="0.25"/>
    <row r="4756" ht="18" customHeight="1" x14ac:dyDescent="0.25"/>
    <row r="4757" ht="18" customHeight="1" x14ac:dyDescent="0.25"/>
    <row r="4758" ht="18" customHeight="1" x14ac:dyDescent="0.25"/>
    <row r="4759" ht="18" customHeight="1" x14ac:dyDescent="0.25"/>
    <row r="4760" ht="18" customHeight="1" x14ac:dyDescent="0.25"/>
    <row r="4761" ht="18" customHeight="1" x14ac:dyDescent="0.25"/>
    <row r="4762" ht="18" customHeight="1" x14ac:dyDescent="0.25"/>
    <row r="4763" ht="18" customHeight="1" x14ac:dyDescent="0.25"/>
    <row r="4764" ht="18" customHeight="1" x14ac:dyDescent="0.25"/>
    <row r="4765" ht="18" customHeight="1" x14ac:dyDescent="0.25"/>
    <row r="4766" ht="18" customHeight="1" x14ac:dyDescent="0.25"/>
    <row r="4767" ht="18" customHeight="1" x14ac:dyDescent="0.25"/>
    <row r="4768" ht="18" customHeight="1" x14ac:dyDescent="0.25"/>
    <row r="4769" ht="18" customHeight="1" x14ac:dyDescent="0.25"/>
    <row r="4770" ht="18" customHeight="1" x14ac:dyDescent="0.25"/>
    <row r="4771" ht="18" customHeight="1" x14ac:dyDescent="0.25"/>
    <row r="4772" ht="18" customHeight="1" x14ac:dyDescent="0.25"/>
    <row r="4773" ht="18" customHeight="1" x14ac:dyDescent="0.25"/>
    <row r="4774" ht="18" customHeight="1" x14ac:dyDescent="0.25"/>
    <row r="4775" ht="18" customHeight="1" x14ac:dyDescent="0.25"/>
    <row r="4776" ht="18" customHeight="1" x14ac:dyDescent="0.25"/>
    <row r="4777" ht="18" customHeight="1" x14ac:dyDescent="0.25"/>
    <row r="4778" ht="18" customHeight="1" x14ac:dyDescent="0.25"/>
    <row r="4779" ht="18" customHeight="1" x14ac:dyDescent="0.25"/>
    <row r="4780" ht="18" customHeight="1" x14ac:dyDescent="0.25"/>
    <row r="4781" ht="18" customHeight="1" x14ac:dyDescent="0.25"/>
    <row r="4782" ht="18" customHeight="1" x14ac:dyDescent="0.25"/>
    <row r="4783" ht="18" customHeight="1" x14ac:dyDescent="0.25"/>
    <row r="4784" ht="18" customHeight="1" x14ac:dyDescent="0.25"/>
    <row r="4785" ht="18" customHeight="1" x14ac:dyDescent="0.25"/>
    <row r="4786" ht="18" customHeight="1" x14ac:dyDescent="0.25"/>
    <row r="4787" ht="18" customHeight="1" x14ac:dyDescent="0.25"/>
    <row r="4788" ht="18" customHeight="1" x14ac:dyDescent="0.25"/>
    <row r="4789" ht="18" customHeight="1" x14ac:dyDescent="0.25"/>
    <row r="4790" ht="18" customHeight="1" x14ac:dyDescent="0.25"/>
    <row r="4791" ht="18" customHeight="1" x14ac:dyDescent="0.25"/>
    <row r="4792" ht="18" customHeight="1" x14ac:dyDescent="0.25"/>
    <row r="4793" ht="18" customHeight="1" x14ac:dyDescent="0.25"/>
    <row r="4794" ht="18" customHeight="1" x14ac:dyDescent="0.25"/>
    <row r="4795" ht="18" customHeight="1" x14ac:dyDescent="0.25"/>
    <row r="4796" ht="18" customHeight="1" x14ac:dyDescent="0.25"/>
    <row r="4797" ht="18" customHeight="1" x14ac:dyDescent="0.25"/>
    <row r="4798" ht="18" customHeight="1" x14ac:dyDescent="0.25"/>
    <row r="4799" ht="18" customHeight="1" x14ac:dyDescent="0.25"/>
    <row r="4800" ht="18" customHeight="1" x14ac:dyDescent="0.25"/>
    <row r="4801" ht="18" customHeight="1" x14ac:dyDescent="0.25"/>
    <row r="4802" ht="18" customHeight="1" x14ac:dyDescent="0.25"/>
    <row r="4803" ht="18" customHeight="1" x14ac:dyDescent="0.25"/>
    <row r="4804" ht="18" customHeight="1" x14ac:dyDescent="0.25"/>
    <row r="4805" ht="18" customHeight="1" x14ac:dyDescent="0.25"/>
    <row r="4806" ht="18" customHeight="1" x14ac:dyDescent="0.25"/>
    <row r="4807" ht="18" customHeight="1" x14ac:dyDescent="0.25"/>
    <row r="4808" ht="18" customHeight="1" x14ac:dyDescent="0.25"/>
    <row r="4809" ht="18" customHeight="1" x14ac:dyDescent="0.25"/>
    <row r="4810" ht="18" customHeight="1" x14ac:dyDescent="0.25"/>
    <row r="4811" ht="18" customHeight="1" x14ac:dyDescent="0.25"/>
    <row r="4812" ht="18" customHeight="1" x14ac:dyDescent="0.25"/>
    <row r="4813" ht="18" customHeight="1" x14ac:dyDescent="0.25"/>
    <row r="4814" ht="18" customHeight="1" x14ac:dyDescent="0.25"/>
    <row r="4815" ht="18" customHeight="1" x14ac:dyDescent="0.25"/>
    <row r="4816" ht="18" customHeight="1" x14ac:dyDescent="0.25"/>
    <row r="4817" ht="18" customHeight="1" x14ac:dyDescent="0.25"/>
    <row r="4818" ht="18" customHeight="1" x14ac:dyDescent="0.25"/>
    <row r="4819" ht="18" customHeight="1" x14ac:dyDescent="0.25"/>
    <row r="4820" ht="18" customHeight="1" x14ac:dyDescent="0.25"/>
    <row r="4821" ht="18" customHeight="1" x14ac:dyDescent="0.25"/>
    <row r="4822" ht="18" customHeight="1" x14ac:dyDescent="0.25"/>
    <row r="4823" ht="18" customHeight="1" x14ac:dyDescent="0.25"/>
    <row r="4824" ht="18" customHeight="1" x14ac:dyDescent="0.25"/>
    <row r="4825" ht="18" customHeight="1" x14ac:dyDescent="0.25"/>
    <row r="4826" ht="18" customHeight="1" x14ac:dyDescent="0.25"/>
    <row r="4827" ht="18" customHeight="1" x14ac:dyDescent="0.25"/>
    <row r="4828" ht="18" customHeight="1" x14ac:dyDescent="0.25"/>
    <row r="4829" ht="18" customHeight="1" x14ac:dyDescent="0.25"/>
    <row r="4830" ht="18" customHeight="1" x14ac:dyDescent="0.25"/>
    <row r="4831" ht="18" customHeight="1" x14ac:dyDescent="0.25"/>
    <row r="4832" ht="18" customHeight="1" x14ac:dyDescent="0.25"/>
    <row r="4833" ht="18" customHeight="1" x14ac:dyDescent="0.25"/>
    <row r="4834" ht="18" customHeight="1" x14ac:dyDescent="0.25"/>
    <row r="4835" ht="18" customHeight="1" x14ac:dyDescent="0.25"/>
    <row r="4836" ht="18" customHeight="1" x14ac:dyDescent="0.25"/>
    <row r="4837" ht="18" customHeight="1" x14ac:dyDescent="0.25"/>
    <row r="4838" ht="18" customHeight="1" x14ac:dyDescent="0.25"/>
    <row r="4839" ht="18" customHeight="1" x14ac:dyDescent="0.25"/>
    <row r="4840" ht="18" customHeight="1" x14ac:dyDescent="0.25"/>
    <row r="4841" ht="18" customHeight="1" x14ac:dyDescent="0.25"/>
    <row r="4842" ht="18" customHeight="1" x14ac:dyDescent="0.25"/>
    <row r="4843" ht="18" customHeight="1" x14ac:dyDescent="0.25"/>
    <row r="4844" ht="18" customHeight="1" x14ac:dyDescent="0.25"/>
    <row r="4845" ht="18" customHeight="1" x14ac:dyDescent="0.25"/>
    <row r="4846" ht="18" customHeight="1" x14ac:dyDescent="0.25"/>
    <row r="4847" ht="18" customHeight="1" x14ac:dyDescent="0.25"/>
    <row r="4848" ht="18" customHeight="1" x14ac:dyDescent="0.25"/>
    <row r="4849" ht="18" customHeight="1" x14ac:dyDescent="0.25"/>
    <row r="4850" ht="18" customHeight="1" x14ac:dyDescent="0.25"/>
    <row r="4851" ht="18" customHeight="1" x14ac:dyDescent="0.25"/>
    <row r="4852" ht="18" customHeight="1" x14ac:dyDescent="0.25"/>
    <row r="4853" ht="18" customHeight="1" x14ac:dyDescent="0.25"/>
    <row r="4854" ht="18" customHeight="1" x14ac:dyDescent="0.25"/>
    <row r="4855" ht="18" customHeight="1" x14ac:dyDescent="0.25"/>
    <row r="4856" ht="18" customHeight="1" x14ac:dyDescent="0.25"/>
    <row r="4857" ht="18" customHeight="1" x14ac:dyDescent="0.25"/>
    <row r="4858" ht="18" customHeight="1" x14ac:dyDescent="0.25"/>
    <row r="4859" ht="18" customHeight="1" x14ac:dyDescent="0.25"/>
    <row r="4860" ht="18" customHeight="1" x14ac:dyDescent="0.25"/>
    <row r="4861" ht="18" customHeight="1" x14ac:dyDescent="0.25"/>
    <row r="4862" ht="18" customHeight="1" x14ac:dyDescent="0.25"/>
    <row r="4863" ht="18" customHeight="1" x14ac:dyDescent="0.25"/>
    <row r="4864" ht="18" customHeight="1" x14ac:dyDescent="0.25"/>
    <row r="4865" ht="18" customHeight="1" x14ac:dyDescent="0.25"/>
    <row r="4866" ht="18" customHeight="1" x14ac:dyDescent="0.25"/>
    <row r="4867" ht="18" customHeight="1" x14ac:dyDescent="0.25"/>
    <row r="4868" ht="18" customHeight="1" x14ac:dyDescent="0.25"/>
    <row r="4869" ht="18" customHeight="1" x14ac:dyDescent="0.25"/>
    <row r="4870" ht="18" customHeight="1" x14ac:dyDescent="0.25"/>
    <row r="4871" ht="18" customHeight="1" x14ac:dyDescent="0.25"/>
    <row r="4872" ht="18" customHeight="1" x14ac:dyDescent="0.25"/>
    <row r="4873" ht="18" customHeight="1" x14ac:dyDescent="0.25"/>
    <row r="4874" ht="18" customHeight="1" x14ac:dyDescent="0.25"/>
    <row r="4875" ht="18" customHeight="1" x14ac:dyDescent="0.25"/>
    <row r="4876" ht="18" customHeight="1" x14ac:dyDescent="0.25"/>
    <row r="4877" ht="18" customHeight="1" x14ac:dyDescent="0.25"/>
    <row r="4878" ht="18" customHeight="1" x14ac:dyDescent="0.25"/>
    <row r="4879" ht="18" customHeight="1" x14ac:dyDescent="0.25"/>
    <row r="4880" ht="18" customHeight="1" x14ac:dyDescent="0.25"/>
    <row r="4881" ht="18" customHeight="1" x14ac:dyDescent="0.25"/>
    <row r="4882" ht="18" customHeight="1" x14ac:dyDescent="0.25"/>
    <row r="4883" ht="18" customHeight="1" x14ac:dyDescent="0.25"/>
    <row r="4884" ht="18" customHeight="1" x14ac:dyDescent="0.25"/>
    <row r="4885" ht="18" customHeight="1" x14ac:dyDescent="0.25"/>
    <row r="4886" ht="18" customHeight="1" x14ac:dyDescent="0.25"/>
    <row r="4887" ht="18" customHeight="1" x14ac:dyDescent="0.25"/>
    <row r="4888" ht="18" customHeight="1" x14ac:dyDescent="0.25"/>
    <row r="4889" ht="18" customHeight="1" x14ac:dyDescent="0.25"/>
    <row r="4890" ht="18" customHeight="1" x14ac:dyDescent="0.25"/>
    <row r="4891" ht="18" customHeight="1" x14ac:dyDescent="0.25"/>
    <row r="4892" ht="18" customHeight="1" x14ac:dyDescent="0.25"/>
    <row r="4893" ht="18" customHeight="1" x14ac:dyDescent="0.25"/>
    <row r="4894" ht="18" customHeight="1" x14ac:dyDescent="0.25"/>
    <row r="4895" ht="18" customHeight="1" x14ac:dyDescent="0.25"/>
    <row r="4896" ht="18" customHeight="1" x14ac:dyDescent="0.25"/>
    <row r="4897" ht="18" customHeight="1" x14ac:dyDescent="0.25"/>
    <row r="4898" ht="18" customHeight="1" x14ac:dyDescent="0.25"/>
    <row r="4899" ht="18" customHeight="1" x14ac:dyDescent="0.25"/>
    <row r="4900" ht="18" customHeight="1" x14ac:dyDescent="0.25"/>
    <row r="4901" ht="18" customHeight="1" x14ac:dyDescent="0.25"/>
    <row r="4902" ht="18" customHeight="1" x14ac:dyDescent="0.25"/>
    <row r="4903" ht="18" customHeight="1" x14ac:dyDescent="0.25"/>
    <row r="4904" ht="18" customHeight="1" x14ac:dyDescent="0.25"/>
    <row r="4905" ht="18" customHeight="1" x14ac:dyDescent="0.25"/>
    <row r="4906" ht="18" customHeight="1" x14ac:dyDescent="0.25"/>
    <row r="4907" ht="18" customHeight="1" x14ac:dyDescent="0.25"/>
    <row r="4908" ht="18" customHeight="1" x14ac:dyDescent="0.25"/>
    <row r="4909" ht="18" customHeight="1" x14ac:dyDescent="0.25"/>
    <row r="4910" ht="18" customHeight="1" x14ac:dyDescent="0.25"/>
    <row r="4911" ht="18" customHeight="1" x14ac:dyDescent="0.25"/>
    <row r="4912" ht="18" customHeight="1" x14ac:dyDescent="0.25"/>
    <row r="4913" ht="18" customHeight="1" x14ac:dyDescent="0.25"/>
    <row r="4914" ht="18" customHeight="1" x14ac:dyDescent="0.25"/>
    <row r="4915" ht="18" customHeight="1" x14ac:dyDescent="0.25"/>
    <row r="4916" ht="18" customHeight="1" x14ac:dyDescent="0.25"/>
    <row r="4917" ht="18" customHeight="1" x14ac:dyDescent="0.25"/>
    <row r="4918" ht="18" customHeight="1" x14ac:dyDescent="0.25"/>
    <row r="4919" ht="18" customHeight="1" x14ac:dyDescent="0.25"/>
    <row r="4920" ht="18" customHeight="1" x14ac:dyDescent="0.25"/>
    <row r="4921" ht="18" customHeight="1" x14ac:dyDescent="0.25"/>
    <row r="4922" ht="18" customHeight="1" x14ac:dyDescent="0.25"/>
    <row r="4923" ht="18" customHeight="1" x14ac:dyDescent="0.25"/>
    <row r="4924" ht="18" customHeight="1" x14ac:dyDescent="0.25"/>
    <row r="4925" ht="18" customHeight="1" x14ac:dyDescent="0.25"/>
    <row r="4926" ht="18" customHeight="1" x14ac:dyDescent="0.25"/>
    <row r="4927" ht="18" customHeight="1" x14ac:dyDescent="0.25"/>
    <row r="4928" ht="18" customHeight="1" x14ac:dyDescent="0.25"/>
    <row r="4929" ht="18" customHeight="1" x14ac:dyDescent="0.25"/>
    <row r="4930" ht="18" customHeight="1" x14ac:dyDescent="0.25"/>
    <row r="4931" ht="18" customHeight="1" x14ac:dyDescent="0.25"/>
    <row r="4932" ht="18" customHeight="1" x14ac:dyDescent="0.25"/>
    <row r="4933" ht="18" customHeight="1" x14ac:dyDescent="0.25"/>
    <row r="4934" ht="18" customHeight="1" x14ac:dyDescent="0.25"/>
    <row r="4935" ht="18" customHeight="1" x14ac:dyDescent="0.25"/>
    <row r="4936" ht="18" customHeight="1" x14ac:dyDescent="0.25"/>
    <row r="4937" ht="18" customHeight="1" x14ac:dyDescent="0.25"/>
    <row r="4938" ht="18" customHeight="1" x14ac:dyDescent="0.25"/>
    <row r="4939" ht="18" customHeight="1" x14ac:dyDescent="0.25"/>
    <row r="4940" ht="18" customHeight="1" x14ac:dyDescent="0.25"/>
    <row r="4941" ht="18" customHeight="1" x14ac:dyDescent="0.25"/>
    <row r="4942" ht="18" customHeight="1" x14ac:dyDescent="0.25"/>
    <row r="4943" ht="18" customHeight="1" x14ac:dyDescent="0.25"/>
    <row r="4944" ht="18" customHeight="1" x14ac:dyDescent="0.25"/>
    <row r="4945" ht="18" customHeight="1" x14ac:dyDescent="0.25"/>
    <row r="4946" ht="18" customHeight="1" x14ac:dyDescent="0.25"/>
    <row r="4947" ht="18" customHeight="1" x14ac:dyDescent="0.25"/>
    <row r="4948" ht="18" customHeight="1" x14ac:dyDescent="0.25"/>
    <row r="4949" ht="18" customHeight="1" x14ac:dyDescent="0.25"/>
    <row r="4950" ht="18" customHeight="1" x14ac:dyDescent="0.25"/>
    <row r="4951" ht="18" customHeight="1" x14ac:dyDescent="0.25"/>
    <row r="4952" ht="18" customHeight="1" x14ac:dyDescent="0.25"/>
    <row r="4953" ht="18" customHeight="1" x14ac:dyDescent="0.25"/>
    <row r="4954" ht="18" customHeight="1" x14ac:dyDescent="0.25"/>
    <row r="4955" ht="18" customHeight="1" x14ac:dyDescent="0.25"/>
    <row r="4956" ht="18" customHeight="1" x14ac:dyDescent="0.25"/>
    <row r="4957" ht="18" customHeight="1" x14ac:dyDescent="0.25"/>
    <row r="4958" ht="18" customHeight="1" x14ac:dyDescent="0.25"/>
    <row r="4959" ht="18" customHeight="1" x14ac:dyDescent="0.25"/>
    <row r="4960" ht="18" customHeight="1" x14ac:dyDescent="0.25"/>
    <row r="4961" ht="18" customHeight="1" x14ac:dyDescent="0.25"/>
    <row r="4962" ht="18" customHeight="1" x14ac:dyDescent="0.25"/>
    <row r="4963" ht="18" customHeight="1" x14ac:dyDescent="0.25"/>
    <row r="4964" ht="18" customHeight="1" x14ac:dyDescent="0.25"/>
    <row r="4965" ht="18" customHeight="1" x14ac:dyDescent="0.25"/>
    <row r="4966" ht="18" customHeight="1" x14ac:dyDescent="0.25"/>
    <row r="4967" ht="18" customHeight="1" x14ac:dyDescent="0.25"/>
    <row r="4968" ht="18" customHeight="1" x14ac:dyDescent="0.25"/>
    <row r="4969" ht="18" customHeight="1" x14ac:dyDescent="0.25"/>
    <row r="4970" ht="18" customHeight="1" x14ac:dyDescent="0.25"/>
    <row r="4971" ht="18" customHeight="1" x14ac:dyDescent="0.25"/>
    <row r="4972" ht="18" customHeight="1" x14ac:dyDescent="0.25"/>
    <row r="4973" ht="18" customHeight="1" x14ac:dyDescent="0.25"/>
    <row r="4974" ht="18" customHeight="1" x14ac:dyDescent="0.25"/>
    <row r="4975" ht="18" customHeight="1" x14ac:dyDescent="0.25"/>
    <row r="4976" ht="18" customHeight="1" x14ac:dyDescent="0.25"/>
    <row r="4977" ht="18" customHeight="1" x14ac:dyDescent="0.25"/>
    <row r="4978" ht="18" customHeight="1" x14ac:dyDescent="0.25"/>
    <row r="4979" ht="18" customHeight="1" x14ac:dyDescent="0.25"/>
    <row r="4980" ht="18" customHeight="1" x14ac:dyDescent="0.25"/>
    <row r="4981" ht="18" customHeight="1" x14ac:dyDescent="0.25"/>
    <row r="4982" ht="18" customHeight="1" x14ac:dyDescent="0.25"/>
    <row r="4983" ht="18" customHeight="1" x14ac:dyDescent="0.25"/>
    <row r="4984" ht="18" customHeight="1" x14ac:dyDescent="0.25"/>
    <row r="4985" ht="18" customHeight="1" x14ac:dyDescent="0.25"/>
    <row r="4986" ht="18" customHeight="1" x14ac:dyDescent="0.25"/>
    <row r="4987" ht="18" customHeight="1" x14ac:dyDescent="0.25"/>
    <row r="4988" ht="18" customHeight="1" x14ac:dyDescent="0.25"/>
    <row r="4989" ht="18" customHeight="1" x14ac:dyDescent="0.25"/>
    <row r="4990" ht="18" customHeight="1" x14ac:dyDescent="0.25"/>
    <row r="4991" ht="18" customHeight="1" x14ac:dyDescent="0.25"/>
    <row r="4992" ht="18" customHeight="1" x14ac:dyDescent="0.25"/>
    <row r="4993" ht="18" customHeight="1" x14ac:dyDescent="0.25"/>
    <row r="4994" ht="18" customHeight="1" x14ac:dyDescent="0.25"/>
    <row r="4995" ht="18" customHeight="1" x14ac:dyDescent="0.25"/>
    <row r="4996" ht="18" customHeight="1" x14ac:dyDescent="0.25"/>
    <row r="4997" ht="18" customHeight="1" x14ac:dyDescent="0.25"/>
    <row r="4998" ht="18" customHeight="1" x14ac:dyDescent="0.25"/>
    <row r="4999" ht="18" customHeight="1" x14ac:dyDescent="0.25"/>
    <row r="5000" ht="18" customHeight="1" x14ac:dyDescent="0.25"/>
    <row r="5001" ht="18" customHeight="1" x14ac:dyDescent="0.25"/>
    <row r="5002" ht="18" customHeight="1" x14ac:dyDescent="0.25"/>
    <row r="5003" ht="18" customHeight="1" x14ac:dyDescent="0.25"/>
    <row r="5004" ht="18" customHeight="1" x14ac:dyDescent="0.25"/>
    <row r="5005" ht="18" customHeight="1" x14ac:dyDescent="0.25"/>
    <row r="5006" ht="18" customHeight="1" x14ac:dyDescent="0.25"/>
    <row r="5007" ht="18" customHeight="1" x14ac:dyDescent="0.25"/>
    <row r="5008" ht="18" customHeight="1" x14ac:dyDescent="0.25"/>
    <row r="5009" ht="18" customHeight="1" x14ac:dyDescent="0.25"/>
    <row r="5010" ht="18" customHeight="1" x14ac:dyDescent="0.25"/>
    <row r="5011" ht="18" customHeight="1" x14ac:dyDescent="0.25"/>
    <row r="5012" ht="18" customHeight="1" x14ac:dyDescent="0.25"/>
    <row r="5013" ht="18" customHeight="1" x14ac:dyDescent="0.25"/>
    <row r="5014" ht="18" customHeight="1" x14ac:dyDescent="0.25"/>
    <row r="5015" ht="18" customHeight="1" x14ac:dyDescent="0.25"/>
    <row r="5016" ht="18" customHeight="1" x14ac:dyDescent="0.25"/>
    <row r="5017" ht="18" customHeight="1" x14ac:dyDescent="0.25"/>
    <row r="5018" ht="18" customHeight="1" x14ac:dyDescent="0.25"/>
    <row r="5019" ht="18" customHeight="1" x14ac:dyDescent="0.25"/>
    <row r="5020" ht="18" customHeight="1" x14ac:dyDescent="0.25"/>
    <row r="5021" ht="18" customHeight="1" x14ac:dyDescent="0.25"/>
    <row r="5022" ht="18" customHeight="1" x14ac:dyDescent="0.25"/>
    <row r="5023" ht="18" customHeight="1" x14ac:dyDescent="0.25"/>
    <row r="5024" ht="18" customHeight="1" x14ac:dyDescent="0.25"/>
    <row r="5025" ht="18" customHeight="1" x14ac:dyDescent="0.25"/>
    <row r="5026" ht="18" customHeight="1" x14ac:dyDescent="0.25"/>
    <row r="5027" ht="18" customHeight="1" x14ac:dyDescent="0.25"/>
    <row r="5028" ht="18" customHeight="1" x14ac:dyDescent="0.25"/>
    <row r="5029" ht="18" customHeight="1" x14ac:dyDescent="0.25"/>
    <row r="5030" ht="18" customHeight="1" x14ac:dyDescent="0.25"/>
    <row r="5031" ht="18" customHeight="1" x14ac:dyDescent="0.25"/>
    <row r="5032" ht="18" customHeight="1" x14ac:dyDescent="0.25"/>
    <row r="5033" ht="18" customHeight="1" x14ac:dyDescent="0.25"/>
    <row r="5034" ht="18" customHeight="1" x14ac:dyDescent="0.25"/>
    <row r="5035" ht="18" customHeight="1" x14ac:dyDescent="0.25"/>
    <row r="5036" ht="18" customHeight="1" x14ac:dyDescent="0.25"/>
    <row r="5037" ht="18" customHeight="1" x14ac:dyDescent="0.25"/>
    <row r="5038" ht="18" customHeight="1" x14ac:dyDescent="0.25"/>
    <row r="5039" ht="18" customHeight="1" x14ac:dyDescent="0.25"/>
    <row r="5040" ht="18" customHeight="1" x14ac:dyDescent="0.25"/>
    <row r="5041" ht="18" customHeight="1" x14ac:dyDescent="0.25"/>
    <row r="5042" ht="18" customHeight="1" x14ac:dyDescent="0.25"/>
    <row r="5043" ht="18" customHeight="1" x14ac:dyDescent="0.25"/>
    <row r="5044" ht="18" customHeight="1" x14ac:dyDescent="0.25"/>
    <row r="5045" ht="18" customHeight="1" x14ac:dyDescent="0.25"/>
    <row r="5046" ht="18" customHeight="1" x14ac:dyDescent="0.25"/>
    <row r="5047" ht="18" customHeight="1" x14ac:dyDescent="0.25"/>
    <row r="5048" ht="18" customHeight="1" x14ac:dyDescent="0.25"/>
    <row r="5049" ht="18" customHeight="1" x14ac:dyDescent="0.25"/>
    <row r="5050" ht="18" customHeight="1" x14ac:dyDescent="0.25"/>
    <row r="5051" ht="18" customHeight="1" x14ac:dyDescent="0.25"/>
    <row r="5052" ht="18" customHeight="1" x14ac:dyDescent="0.25"/>
    <row r="5053" ht="18" customHeight="1" x14ac:dyDescent="0.25"/>
    <row r="5054" ht="18" customHeight="1" x14ac:dyDescent="0.25"/>
    <row r="5055" ht="18" customHeight="1" x14ac:dyDescent="0.25"/>
    <row r="5056" ht="18" customHeight="1" x14ac:dyDescent="0.25"/>
    <row r="5057" ht="18" customHeight="1" x14ac:dyDescent="0.25"/>
    <row r="5058" ht="18" customHeight="1" x14ac:dyDescent="0.25"/>
    <row r="5059" ht="18" customHeight="1" x14ac:dyDescent="0.25"/>
    <row r="5060" ht="18" customHeight="1" x14ac:dyDescent="0.25"/>
    <row r="5061" ht="18" customHeight="1" x14ac:dyDescent="0.25"/>
    <row r="5062" ht="18" customHeight="1" x14ac:dyDescent="0.25"/>
    <row r="5063" ht="18" customHeight="1" x14ac:dyDescent="0.25"/>
    <row r="5064" ht="18" customHeight="1" x14ac:dyDescent="0.25"/>
    <row r="5065" ht="18" customHeight="1" x14ac:dyDescent="0.25"/>
    <row r="5066" ht="18" customHeight="1" x14ac:dyDescent="0.25"/>
    <row r="5067" ht="18" customHeight="1" x14ac:dyDescent="0.25"/>
    <row r="5068" ht="18" customHeight="1" x14ac:dyDescent="0.25"/>
    <row r="5069" ht="18" customHeight="1" x14ac:dyDescent="0.25"/>
    <row r="5070" ht="18" customHeight="1" x14ac:dyDescent="0.25"/>
    <row r="5071" ht="18" customHeight="1" x14ac:dyDescent="0.25"/>
    <row r="5072" ht="18" customHeight="1" x14ac:dyDescent="0.25"/>
    <row r="5073" ht="18" customHeight="1" x14ac:dyDescent="0.25"/>
    <row r="5074" ht="18" customHeight="1" x14ac:dyDescent="0.25"/>
    <row r="5075" ht="18" customHeight="1" x14ac:dyDescent="0.25"/>
    <row r="5076" ht="18" customHeight="1" x14ac:dyDescent="0.25"/>
    <row r="5077" ht="18" customHeight="1" x14ac:dyDescent="0.25"/>
    <row r="5078" ht="18" customHeight="1" x14ac:dyDescent="0.25"/>
    <row r="5079" ht="18" customHeight="1" x14ac:dyDescent="0.25"/>
    <row r="5080" ht="18" customHeight="1" x14ac:dyDescent="0.25"/>
    <row r="5081" ht="18" customHeight="1" x14ac:dyDescent="0.25"/>
    <row r="5082" ht="18" customHeight="1" x14ac:dyDescent="0.25"/>
    <row r="5083" ht="18" customHeight="1" x14ac:dyDescent="0.25"/>
    <row r="5084" ht="18" customHeight="1" x14ac:dyDescent="0.25"/>
    <row r="5085" ht="18" customHeight="1" x14ac:dyDescent="0.25"/>
    <row r="5086" ht="18" customHeight="1" x14ac:dyDescent="0.25"/>
    <row r="5087" ht="18" customHeight="1" x14ac:dyDescent="0.25"/>
    <row r="5088" ht="18" customHeight="1" x14ac:dyDescent="0.25"/>
    <row r="5089" ht="18" customHeight="1" x14ac:dyDescent="0.25"/>
    <row r="5090" ht="18" customHeight="1" x14ac:dyDescent="0.25"/>
    <row r="5091" ht="18" customHeight="1" x14ac:dyDescent="0.25"/>
    <row r="5092" ht="18" customHeight="1" x14ac:dyDescent="0.25"/>
    <row r="5093" ht="18" customHeight="1" x14ac:dyDescent="0.25"/>
    <row r="5094" ht="18" customHeight="1" x14ac:dyDescent="0.25"/>
    <row r="5095" ht="18" customHeight="1" x14ac:dyDescent="0.25"/>
    <row r="5096" ht="18" customHeight="1" x14ac:dyDescent="0.25"/>
    <row r="5097" ht="18" customHeight="1" x14ac:dyDescent="0.25"/>
    <row r="5098" ht="18" customHeight="1" x14ac:dyDescent="0.25"/>
    <row r="5099" ht="18" customHeight="1" x14ac:dyDescent="0.25"/>
    <row r="5100" ht="18" customHeight="1" x14ac:dyDescent="0.25"/>
    <row r="5101" ht="18" customHeight="1" x14ac:dyDescent="0.25"/>
    <row r="5102" ht="18" customHeight="1" x14ac:dyDescent="0.25"/>
    <row r="5103" ht="18" customHeight="1" x14ac:dyDescent="0.25"/>
    <row r="5104" ht="18" customHeight="1" x14ac:dyDescent="0.25"/>
    <row r="5105" ht="18" customHeight="1" x14ac:dyDescent="0.25"/>
    <row r="5106" ht="18" customHeight="1" x14ac:dyDescent="0.25"/>
    <row r="5107" ht="18" customHeight="1" x14ac:dyDescent="0.25"/>
    <row r="5108" ht="18" customHeight="1" x14ac:dyDescent="0.25"/>
    <row r="5109" ht="18" customHeight="1" x14ac:dyDescent="0.25"/>
    <row r="5110" ht="18" customHeight="1" x14ac:dyDescent="0.25"/>
    <row r="5111" ht="18" customHeight="1" x14ac:dyDescent="0.25"/>
    <row r="5112" ht="18" customHeight="1" x14ac:dyDescent="0.25"/>
    <row r="5113" ht="18" customHeight="1" x14ac:dyDescent="0.25"/>
    <row r="5114" ht="18" customHeight="1" x14ac:dyDescent="0.25"/>
    <row r="5115" ht="18" customHeight="1" x14ac:dyDescent="0.25"/>
    <row r="5116" ht="18" customHeight="1" x14ac:dyDescent="0.25"/>
    <row r="5117" ht="18" customHeight="1" x14ac:dyDescent="0.25"/>
    <row r="5118" ht="18" customHeight="1" x14ac:dyDescent="0.25"/>
    <row r="5119" ht="18" customHeight="1" x14ac:dyDescent="0.25"/>
    <row r="5120" ht="18" customHeight="1" x14ac:dyDescent="0.25"/>
    <row r="5121" ht="18" customHeight="1" x14ac:dyDescent="0.25"/>
    <row r="5122" ht="18" customHeight="1" x14ac:dyDescent="0.25"/>
    <row r="5123" ht="18" customHeight="1" x14ac:dyDescent="0.25"/>
    <row r="5124" ht="18" customHeight="1" x14ac:dyDescent="0.25"/>
    <row r="5125" ht="18" customHeight="1" x14ac:dyDescent="0.25"/>
    <row r="5126" ht="18" customHeight="1" x14ac:dyDescent="0.25"/>
    <row r="5127" ht="18" customHeight="1" x14ac:dyDescent="0.25"/>
    <row r="5128" ht="18" customHeight="1" x14ac:dyDescent="0.25"/>
    <row r="5129" ht="18" customHeight="1" x14ac:dyDescent="0.25"/>
    <row r="5130" ht="18" customHeight="1" x14ac:dyDescent="0.25"/>
    <row r="5131" ht="18" customHeight="1" x14ac:dyDescent="0.25"/>
    <row r="5132" ht="18" customHeight="1" x14ac:dyDescent="0.25"/>
    <row r="5133" ht="18" customHeight="1" x14ac:dyDescent="0.25"/>
    <row r="5134" ht="18" customHeight="1" x14ac:dyDescent="0.25"/>
    <row r="5135" ht="18" customHeight="1" x14ac:dyDescent="0.25"/>
    <row r="5136" ht="18" customHeight="1" x14ac:dyDescent="0.25"/>
    <row r="5137" ht="18" customHeight="1" x14ac:dyDescent="0.25"/>
    <row r="5138" ht="18" customHeight="1" x14ac:dyDescent="0.25"/>
    <row r="5139" ht="18" customHeight="1" x14ac:dyDescent="0.25"/>
    <row r="5140" ht="18" customHeight="1" x14ac:dyDescent="0.25"/>
    <row r="5141" ht="18" customHeight="1" x14ac:dyDescent="0.25"/>
    <row r="5142" ht="18" customHeight="1" x14ac:dyDescent="0.25"/>
    <row r="5143" ht="18" customHeight="1" x14ac:dyDescent="0.25"/>
    <row r="5144" ht="18" customHeight="1" x14ac:dyDescent="0.25"/>
    <row r="5145" ht="18" customHeight="1" x14ac:dyDescent="0.25"/>
    <row r="5146" ht="18" customHeight="1" x14ac:dyDescent="0.25"/>
    <row r="5147" ht="18" customHeight="1" x14ac:dyDescent="0.25"/>
    <row r="5148" ht="18" customHeight="1" x14ac:dyDescent="0.25"/>
    <row r="5149" ht="18" customHeight="1" x14ac:dyDescent="0.25"/>
    <row r="5150" ht="18" customHeight="1" x14ac:dyDescent="0.25"/>
    <row r="5151" ht="18" customHeight="1" x14ac:dyDescent="0.25"/>
    <row r="5152" ht="18" customHeight="1" x14ac:dyDescent="0.25"/>
    <row r="5153" ht="18" customHeight="1" x14ac:dyDescent="0.25"/>
    <row r="5154" ht="18" customHeight="1" x14ac:dyDescent="0.25"/>
    <row r="5155" ht="18" customHeight="1" x14ac:dyDescent="0.25"/>
    <row r="5156" ht="18" customHeight="1" x14ac:dyDescent="0.25"/>
    <row r="5157" ht="18" customHeight="1" x14ac:dyDescent="0.25"/>
    <row r="5158" ht="18" customHeight="1" x14ac:dyDescent="0.25"/>
    <row r="5159" ht="18" customHeight="1" x14ac:dyDescent="0.25"/>
    <row r="5160" ht="18" customHeight="1" x14ac:dyDescent="0.25"/>
    <row r="5161" ht="18" customHeight="1" x14ac:dyDescent="0.25"/>
    <row r="5162" ht="18" customHeight="1" x14ac:dyDescent="0.25"/>
    <row r="5163" ht="18" customHeight="1" x14ac:dyDescent="0.25"/>
    <row r="5164" ht="18" customHeight="1" x14ac:dyDescent="0.25"/>
    <row r="5165" ht="18" customHeight="1" x14ac:dyDescent="0.25"/>
    <row r="5166" ht="18" customHeight="1" x14ac:dyDescent="0.25"/>
    <row r="5167" ht="18" customHeight="1" x14ac:dyDescent="0.25"/>
    <row r="5168" ht="18" customHeight="1" x14ac:dyDescent="0.25"/>
    <row r="5169" ht="18" customHeight="1" x14ac:dyDescent="0.25"/>
    <row r="5170" ht="18" customHeight="1" x14ac:dyDescent="0.25"/>
    <row r="5171" ht="18" customHeight="1" x14ac:dyDescent="0.25"/>
    <row r="5172" ht="18" customHeight="1" x14ac:dyDescent="0.25"/>
    <row r="5173" ht="18" customHeight="1" x14ac:dyDescent="0.25"/>
    <row r="5174" ht="18" customHeight="1" x14ac:dyDescent="0.25"/>
    <row r="5175" ht="18" customHeight="1" x14ac:dyDescent="0.25"/>
    <row r="5176" ht="18" customHeight="1" x14ac:dyDescent="0.25"/>
    <row r="5177" ht="18" customHeight="1" x14ac:dyDescent="0.25"/>
    <row r="5178" ht="18" customHeight="1" x14ac:dyDescent="0.25"/>
    <row r="5179" ht="18" customHeight="1" x14ac:dyDescent="0.25"/>
    <row r="5180" ht="18" customHeight="1" x14ac:dyDescent="0.25"/>
    <row r="5181" ht="18" customHeight="1" x14ac:dyDescent="0.25"/>
    <row r="5182" ht="18" customHeight="1" x14ac:dyDescent="0.25"/>
    <row r="5183" ht="18" customHeight="1" x14ac:dyDescent="0.25"/>
    <row r="5184" ht="18" customHeight="1" x14ac:dyDescent="0.25"/>
    <row r="5185" ht="18" customHeight="1" x14ac:dyDescent="0.25"/>
    <row r="5186" ht="18" customHeight="1" x14ac:dyDescent="0.25"/>
    <row r="5187" ht="18" customHeight="1" x14ac:dyDescent="0.25"/>
    <row r="5188" ht="18" customHeight="1" x14ac:dyDescent="0.25"/>
    <row r="5189" ht="18" customHeight="1" x14ac:dyDescent="0.25"/>
    <row r="5190" ht="18" customHeight="1" x14ac:dyDescent="0.25"/>
    <row r="5191" ht="18" customHeight="1" x14ac:dyDescent="0.25"/>
    <row r="5192" ht="18" customHeight="1" x14ac:dyDescent="0.25"/>
    <row r="5193" ht="18" customHeight="1" x14ac:dyDescent="0.25"/>
    <row r="5194" ht="18" customHeight="1" x14ac:dyDescent="0.25"/>
    <row r="5195" ht="18" customHeight="1" x14ac:dyDescent="0.25"/>
    <row r="5196" ht="18" customHeight="1" x14ac:dyDescent="0.25"/>
    <row r="5197" ht="18" customHeight="1" x14ac:dyDescent="0.25"/>
    <row r="5198" ht="18" customHeight="1" x14ac:dyDescent="0.25"/>
    <row r="5199" ht="18" customHeight="1" x14ac:dyDescent="0.25"/>
    <row r="5200" ht="18" customHeight="1" x14ac:dyDescent="0.25"/>
    <row r="5201" ht="18" customHeight="1" x14ac:dyDescent="0.25"/>
    <row r="5202" ht="18" customHeight="1" x14ac:dyDescent="0.25"/>
    <row r="5203" ht="18" customHeight="1" x14ac:dyDescent="0.25"/>
    <row r="5204" ht="18" customHeight="1" x14ac:dyDescent="0.25"/>
    <row r="5205" ht="18" customHeight="1" x14ac:dyDescent="0.25"/>
    <row r="5206" ht="18" customHeight="1" x14ac:dyDescent="0.25"/>
    <row r="5207" ht="18" customHeight="1" x14ac:dyDescent="0.25"/>
    <row r="5208" ht="18" customHeight="1" x14ac:dyDescent="0.25"/>
    <row r="5209" ht="18" customHeight="1" x14ac:dyDescent="0.25"/>
    <row r="5210" ht="18" customHeight="1" x14ac:dyDescent="0.25"/>
    <row r="5211" ht="18" customHeight="1" x14ac:dyDescent="0.25"/>
    <row r="5212" ht="18" customHeight="1" x14ac:dyDescent="0.25"/>
    <row r="5213" ht="18" customHeight="1" x14ac:dyDescent="0.25"/>
    <row r="5214" ht="18" customHeight="1" x14ac:dyDescent="0.25"/>
    <row r="5215" ht="18" customHeight="1" x14ac:dyDescent="0.25"/>
    <row r="5216" ht="18" customHeight="1" x14ac:dyDescent="0.25"/>
    <row r="5217" ht="18" customHeight="1" x14ac:dyDescent="0.25"/>
    <row r="5218" ht="18" customHeight="1" x14ac:dyDescent="0.25"/>
    <row r="5219" ht="18" customHeight="1" x14ac:dyDescent="0.25"/>
    <row r="5220" ht="18" customHeight="1" x14ac:dyDescent="0.25"/>
    <row r="5221" ht="18" customHeight="1" x14ac:dyDescent="0.25"/>
    <row r="5222" ht="18" customHeight="1" x14ac:dyDescent="0.25"/>
    <row r="5223" ht="18" customHeight="1" x14ac:dyDescent="0.25"/>
    <row r="5224" ht="18" customHeight="1" x14ac:dyDescent="0.25"/>
    <row r="5225" ht="18" customHeight="1" x14ac:dyDescent="0.25"/>
    <row r="5226" ht="18" customHeight="1" x14ac:dyDescent="0.25"/>
    <row r="5227" ht="18" customHeight="1" x14ac:dyDescent="0.25"/>
    <row r="5228" ht="18" customHeight="1" x14ac:dyDescent="0.25"/>
    <row r="5229" ht="18" customHeight="1" x14ac:dyDescent="0.25"/>
    <row r="5230" ht="18" customHeight="1" x14ac:dyDescent="0.25"/>
    <row r="5231" ht="18" customHeight="1" x14ac:dyDescent="0.25"/>
    <row r="5232" ht="18" customHeight="1" x14ac:dyDescent="0.25"/>
    <row r="5233" ht="18" customHeight="1" x14ac:dyDescent="0.25"/>
    <row r="5234" ht="18" customHeight="1" x14ac:dyDescent="0.25"/>
    <row r="5235" ht="18" customHeight="1" x14ac:dyDescent="0.25"/>
    <row r="5236" ht="18" customHeight="1" x14ac:dyDescent="0.25"/>
    <row r="5237" ht="18" customHeight="1" x14ac:dyDescent="0.25"/>
    <row r="5238" ht="18" customHeight="1" x14ac:dyDescent="0.25"/>
    <row r="5239" ht="18" customHeight="1" x14ac:dyDescent="0.25"/>
    <row r="5240" ht="18" customHeight="1" x14ac:dyDescent="0.25"/>
    <row r="5241" ht="18" customHeight="1" x14ac:dyDescent="0.25"/>
    <row r="5242" ht="18" customHeight="1" x14ac:dyDescent="0.25"/>
    <row r="5243" ht="18" customHeight="1" x14ac:dyDescent="0.25"/>
    <row r="5244" ht="18" customHeight="1" x14ac:dyDescent="0.25"/>
    <row r="5245" ht="18" customHeight="1" x14ac:dyDescent="0.25"/>
    <row r="5246" ht="18" customHeight="1" x14ac:dyDescent="0.25"/>
    <row r="5247" ht="18" customHeight="1" x14ac:dyDescent="0.25"/>
    <row r="5248" ht="18" customHeight="1" x14ac:dyDescent="0.25"/>
    <row r="5249" ht="18" customHeight="1" x14ac:dyDescent="0.25"/>
    <row r="5250" ht="18" customHeight="1" x14ac:dyDescent="0.25"/>
    <row r="5251" ht="18" customHeight="1" x14ac:dyDescent="0.25"/>
    <row r="5252" ht="18" customHeight="1" x14ac:dyDescent="0.25"/>
    <row r="5253" ht="18" customHeight="1" x14ac:dyDescent="0.25"/>
    <row r="5254" ht="18" customHeight="1" x14ac:dyDescent="0.25"/>
    <row r="5255" ht="18" customHeight="1" x14ac:dyDescent="0.25"/>
    <row r="5256" ht="18" customHeight="1" x14ac:dyDescent="0.25"/>
    <row r="5257" ht="18" customHeight="1" x14ac:dyDescent="0.25"/>
    <row r="5258" ht="18" customHeight="1" x14ac:dyDescent="0.25"/>
    <row r="5259" ht="18" customHeight="1" x14ac:dyDescent="0.25"/>
    <row r="5260" ht="18" customHeight="1" x14ac:dyDescent="0.25"/>
    <row r="5261" ht="18" customHeight="1" x14ac:dyDescent="0.25"/>
    <row r="5262" ht="18" customHeight="1" x14ac:dyDescent="0.25"/>
    <row r="5263" ht="18" customHeight="1" x14ac:dyDescent="0.25"/>
    <row r="5264" ht="18" customHeight="1" x14ac:dyDescent="0.25"/>
    <row r="5265" ht="18" customHeight="1" x14ac:dyDescent="0.25"/>
    <row r="5266" ht="18" customHeight="1" x14ac:dyDescent="0.25"/>
    <row r="5267" ht="18" customHeight="1" x14ac:dyDescent="0.25"/>
    <row r="5268" ht="18" customHeight="1" x14ac:dyDescent="0.25"/>
    <row r="5269" ht="18" customHeight="1" x14ac:dyDescent="0.25"/>
    <row r="5270" ht="18" customHeight="1" x14ac:dyDescent="0.25"/>
    <row r="5271" ht="18" customHeight="1" x14ac:dyDescent="0.25"/>
    <row r="5272" ht="18" customHeight="1" x14ac:dyDescent="0.25"/>
    <row r="5273" ht="18" customHeight="1" x14ac:dyDescent="0.25"/>
    <row r="5274" ht="18" customHeight="1" x14ac:dyDescent="0.25"/>
    <row r="5275" ht="18" customHeight="1" x14ac:dyDescent="0.25"/>
    <row r="5276" ht="18" customHeight="1" x14ac:dyDescent="0.25"/>
    <row r="5277" ht="18" customHeight="1" x14ac:dyDescent="0.25"/>
    <row r="5278" ht="18" customHeight="1" x14ac:dyDescent="0.25"/>
    <row r="5279" ht="18" customHeight="1" x14ac:dyDescent="0.25"/>
    <row r="5280" ht="18" customHeight="1" x14ac:dyDescent="0.25"/>
    <row r="5281" ht="18" customHeight="1" x14ac:dyDescent="0.25"/>
    <row r="5282" ht="18" customHeight="1" x14ac:dyDescent="0.25"/>
    <row r="5283" ht="18" customHeight="1" x14ac:dyDescent="0.25"/>
    <row r="5284" ht="18" customHeight="1" x14ac:dyDescent="0.25"/>
    <row r="5285" ht="18" customHeight="1" x14ac:dyDescent="0.25"/>
    <row r="5286" ht="18" customHeight="1" x14ac:dyDescent="0.25"/>
    <row r="5287" ht="18" customHeight="1" x14ac:dyDescent="0.25"/>
    <row r="5288" ht="18" customHeight="1" x14ac:dyDescent="0.25"/>
    <row r="5289" ht="18" customHeight="1" x14ac:dyDescent="0.25"/>
    <row r="5290" ht="18" customHeight="1" x14ac:dyDescent="0.25"/>
    <row r="5291" ht="18" customHeight="1" x14ac:dyDescent="0.25"/>
    <row r="5292" ht="18" customHeight="1" x14ac:dyDescent="0.25"/>
    <row r="5293" ht="18" customHeight="1" x14ac:dyDescent="0.25"/>
    <row r="5294" ht="18" customHeight="1" x14ac:dyDescent="0.25"/>
    <row r="5295" ht="18" customHeight="1" x14ac:dyDescent="0.25"/>
    <row r="5296" ht="18" customHeight="1" x14ac:dyDescent="0.25"/>
    <row r="5297" ht="18" customHeight="1" x14ac:dyDescent="0.25"/>
    <row r="5298" ht="18" customHeight="1" x14ac:dyDescent="0.25"/>
    <row r="5299" ht="18" customHeight="1" x14ac:dyDescent="0.25"/>
    <row r="5300" ht="18" customHeight="1" x14ac:dyDescent="0.25"/>
    <row r="5301" ht="18" customHeight="1" x14ac:dyDescent="0.25"/>
    <row r="5302" ht="18" customHeight="1" x14ac:dyDescent="0.25"/>
    <row r="5303" ht="18" customHeight="1" x14ac:dyDescent="0.25"/>
    <row r="5304" ht="18" customHeight="1" x14ac:dyDescent="0.25"/>
    <row r="5305" ht="18" customHeight="1" x14ac:dyDescent="0.25"/>
    <row r="5306" ht="18" customHeight="1" x14ac:dyDescent="0.25"/>
    <row r="5307" ht="18" customHeight="1" x14ac:dyDescent="0.25"/>
    <row r="5308" ht="18" customHeight="1" x14ac:dyDescent="0.25"/>
    <row r="5309" ht="18" customHeight="1" x14ac:dyDescent="0.25"/>
    <row r="5310" ht="18" customHeight="1" x14ac:dyDescent="0.25"/>
    <row r="5311" ht="18" customHeight="1" x14ac:dyDescent="0.25"/>
    <row r="5312" ht="18" customHeight="1" x14ac:dyDescent="0.25"/>
    <row r="5313" ht="18" customHeight="1" x14ac:dyDescent="0.25"/>
    <row r="5314" ht="18" customHeight="1" x14ac:dyDescent="0.25"/>
    <row r="5315" ht="18" customHeight="1" x14ac:dyDescent="0.25"/>
    <row r="5316" ht="18" customHeight="1" x14ac:dyDescent="0.25"/>
    <row r="5317" ht="18" customHeight="1" x14ac:dyDescent="0.25"/>
    <row r="5318" ht="18" customHeight="1" x14ac:dyDescent="0.25"/>
    <row r="5319" ht="18" customHeight="1" x14ac:dyDescent="0.25"/>
    <row r="5320" ht="18" customHeight="1" x14ac:dyDescent="0.25"/>
    <row r="5321" ht="18" customHeight="1" x14ac:dyDescent="0.25"/>
    <row r="5322" ht="18" customHeight="1" x14ac:dyDescent="0.25"/>
    <row r="5323" ht="18" customHeight="1" x14ac:dyDescent="0.25"/>
    <row r="5324" ht="18" customHeight="1" x14ac:dyDescent="0.25"/>
    <row r="5325" ht="18" customHeight="1" x14ac:dyDescent="0.25"/>
    <row r="5326" ht="18" customHeight="1" x14ac:dyDescent="0.25"/>
    <row r="5327" ht="18" customHeight="1" x14ac:dyDescent="0.25"/>
    <row r="5328" ht="18" customHeight="1" x14ac:dyDescent="0.25"/>
    <row r="5329" ht="18" customHeight="1" x14ac:dyDescent="0.25"/>
    <row r="5330" ht="18" customHeight="1" x14ac:dyDescent="0.25"/>
    <row r="5331" ht="18" customHeight="1" x14ac:dyDescent="0.25"/>
    <row r="5332" ht="18" customHeight="1" x14ac:dyDescent="0.25"/>
    <row r="5333" ht="18" customHeight="1" x14ac:dyDescent="0.25"/>
    <row r="5334" ht="18" customHeight="1" x14ac:dyDescent="0.25"/>
    <row r="5335" ht="18" customHeight="1" x14ac:dyDescent="0.25"/>
    <row r="5336" ht="18" customHeight="1" x14ac:dyDescent="0.25"/>
    <row r="5337" ht="18" customHeight="1" x14ac:dyDescent="0.25"/>
    <row r="5338" ht="18" customHeight="1" x14ac:dyDescent="0.25"/>
    <row r="5339" ht="18" customHeight="1" x14ac:dyDescent="0.25"/>
    <row r="5340" ht="18" customHeight="1" x14ac:dyDescent="0.25"/>
    <row r="5341" ht="18" customHeight="1" x14ac:dyDescent="0.25"/>
    <row r="5342" ht="18" customHeight="1" x14ac:dyDescent="0.25"/>
    <row r="5343" ht="18" customHeight="1" x14ac:dyDescent="0.25"/>
    <row r="5344" ht="18" customHeight="1" x14ac:dyDescent="0.25"/>
    <row r="5345" ht="18" customHeight="1" x14ac:dyDescent="0.25"/>
    <row r="5346" ht="18" customHeight="1" x14ac:dyDescent="0.25"/>
    <row r="5347" ht="18" customHeight="1" x14ac:dyDescent="0.25"/>
    <row r="5348" ht="18" customHeight="1" x14ac:dyDescent="0.25"/>
    <row r="5349" ht="18" customHeight="1" x14ac:dyDescent="0.25"/>
    <row r="5350" ht="18" customHeight="1" x14ac:dyDescent="0.25"/>
    <row r="5351" ht="18" customHeight="1" x14ac:dyDescent="0.25"/>
    <row r="5352" ht="18" customHeight="1" x14ac:dyDescent="0.25"/>
    <row r="5353" ht="18" customHeight="1" x14ac:dyDescent="0.25"/>
    <row r="5354" ht="18" customHeight="1" x14ac:dyDescent="0.25"/>
    <row r="5355" ht="18" customHeight="1" x14ac:dyDescent="0.25"/>
    <row r="5356" ht="18" customHeight="1" x14ac:dyDescent="0.25"/>
    <row r="5357" ht="18" customHeight="1" x14ac:dyDescent="0.25"/>
    <row r="5358" ht="18" customHeight="1" x14ac:dyDescent="0.25"/>
    <row r="5359" ht="18" customHeight="1" x14ac:dyDescent="0.25"/>
    <row r="5360" ht="18" customHeight="1" x14ac:dyDescent="0.25"/>
    <row r="5361" ht="18" customHeight="1" x14ac:dyDescent="0.25"/>
    <row r="5362" ht="18" customHeight="1" x14ac:dyDescent="0.25"/>
    <row r="5363" ht="18" customHeight="1" x14ac:dyDescent="0.25"/>
    <row r="5364" ht="18" customHeight="1" x14ac:dyDescent="0.25"/>
    <row r="5365" ht="18" customHeight="1" x14ac:dyDescent="0.25"/>
    <row r="5366" ht="18" customHeight="1" x14ac:dyDescent="0.25"/>
    <row r="5367" ht="18" customHeight="1" x14ac:dyDescent="0.25"/>
    <row r="5368" ht="18" customHeight="1" x14ac:dyDescent="0.25"/>
    <row r="5369" ht="18" customHeight="1" x14ac:dyDescent="0.25"/>
    <row r="5370" ht="18" customHeight="1" x14ac:dyDescent="0.25"/>
    <row r="5371" ht="18" customHeight="1" x14ac:dyDescent="0.25"/>
    <row r="5372" ht="18" customHeight="1" x14ac:dyDescent="0.25"/>
    <row r="5373" ht="18" customHeight="1" x14ac:dyDescent="0.25"/>
    <row r="5374" ht="18" customHeight="1" x14ac:dyDescent="0.25"/>
    <row r="5375" ht="18" customHeight="1" x14ac:dyDescent="0.25"/>
    <row r="5376" ht="18" customHeight="1" x14ac:dyDescent="0.25"/>
    <row r="5377" ht="18" customHeight="1" x14ac:dyDescent="0.25"/>
    <row r="5378" ht="18" customHeight="1" x14ac:dyDescent="0.25"/>
    <row r="5379" ht="18" customHeight="1" x14ac:dyDescent="0.25"/>
    <row r="5380" ht="18" customHeight="1" x14ac:dyDescent="0.25"/>
    <row r="5381" ht="18" customHeight="1" x14ac:dyDescent="0.25"/>
    <row r="5382" ht="18" customHeight="1" x14ac:dyDescent="0.25"/>
    <row r="5383" ht="18" customHeight="1" x14ac:dyDescent="0.25"/>
    <row r="5384" ht="18" customHeight="1" x14ac:dyDescent="0.25"/>
    <row r="5385" ht="18" customHeight="1" x14ac:dyDescent="0.25"/>
    <row r="5386" ht="18" customHeight="1" x14ac:dyDescent="0.25"/>
    <row r="5387" ht="18" customHeight="1" x14ac:dyDescent="0.25"/>
    <row r="5388" ht="18" customHeight="1" x14ac:dyDescent="0.25"/>
    <row r="5389" ht="18" customHeight="1" x14ac:dyDescent="0.25"/>
    <row r="5390" ht="18" customHeight="1" x14ac:dyDescent="0.25"/>
    <row r="5391" ht="18" customHeight="1" x14ac:dyDescent="0.25"/>
    <row r="5392" ht="18" customHeight="1" x14ac:dyDescent="0.25"/>
    <row r="5393" ht="18" customHeight="1" x14ac:dyDescent="0.25"/>
    <row r="5394" ht="18" customHeight="1" x14ac:dyDescent="0.25"/>
    <row r="5395" ht="18" customHeight="1" x14ac:dyDescent="0.25"/>
    <row r="5396" ht="18" customHeight="1" x14ac:dyDescent="0.25"/>
    <row r="5397" ht="18" customHeight="1" x14ac:dyDescent="0.25"/>
    <row r="5398" ht="18" customHeight="1" x14ac:dyDescent="0.25"/>
    <row r="5399" ht="18" customHeight="1" x14ac:dyDescent="0.25"/>
    <row r="5400" ht="18" customHeight="1" x14ac:dyDescent="0.25"/>
    <row r="5401" ht="18" customHeight="1" x14ac:dyDescent="0.25"/>
    <row r="5402" ht="18" customHeight="1" x14ac:dyDescent="0.25"/>
    <row r="5403" ht="18" customHeight="1" x14ac:dyDescent="0.25"/>
    <row r="5404" ht="18" customHeight="1" x14ac:dyDescent="0.25"/>
    <row r="5405" ht="18" customHeight="1" x14ac:dyDescent="0.25"/>
    <row r="5406" ht="18" customHeight="1" x14ac:dyDescent="0.25"/>
    <row r="5407" ht="18" customHeight="1" x14ac:dyDescent="0.25"/>
    <row r="5408" ht="18" customHeight="1" x14ac:dyDescent="0.25"/>
    <row r="5409" ht="18" customHeight="1" x14ac:dyDescent="0.25"/>
    <row r="5410" ht="18" customHeight="1" x14ac:dyDescent="0.25"/>
    <row r="5411" ht="18" customHeight="1" x14ac:dyDescent="0.25"/>
    <row r="5412" ht="18" customHeight="1" x14ac:dyDescent="0.25"/>
    <row r="5413" ht="18" customHeight="1" x14ac:dyDescent="0.25"/>
    <row r="5414" ht="18" customHeight="1" x14ac:dyDescent="0.25"/>
    <row r="5415" ht="18" customHeight="1" x14ac:dyDescent="0.25"/>
    <row r="5416" ht="18" customHeight="1" x14ac:dyDescent="0.25"/>
    <row r="5417" ht="18" customHeight="1" x14ac:dyDescent="0.25"/>
    <row r="5418" ht="18" customHeight="1" x14ac:dyDescent="0.25"/>
    <row r="5419" ht="18" customHeight="1" x14ac:dyDescent="0.25"/>
    <row r="5420" ht="18" customHeight="1" x14ac:dyDescent="0.25"/>
    <row r="5421" ht="18" customHeight="1" x14ac:dyDescent="0.25"/>
    <row r="5422" ht="18" customHeight="1" x14ac:dyDescent="0.25"/>
    <row r="5423" ht="18" customHeight="1" x14ac:dyDescent="0.25"/>
    <row r="5424" ht="18" customHeight="1" x14ac:dyDescent="0.25"/>
    <row r="5425" ht="18" customHeight="1" x14ac:dyDescent="0.25"/>
    <row r="5426" ht="18" customHeight="1" x14ac:dyDescent="0.25"/>
    <row r="5427" ht="18" customHeight="1" x14ac:dyDescent="0.25"/>
    <row r="5428" ht="18" customHeight="1" x14ac:dyDescent="0.25"/>
    <row r="5429" ht="18" customHeight="1" x14ac:dyDescent="0.25"/>
    <row r="5430" ht="18" customHeight="1" x14ac:dyDescent="0.25"/>
    <row r="5431" ht="18" customHeight="1" x14ac:dyDescent="0.25"/>
    <row r="5432" ht="18" customHeight="1" x14ac:dyDescent="0.25"/>
    <row r="5433" ht="18" customHeight="1" x14ac:dyDescent="0.25"/>
    <row r="5434" ht="18" customHeight="1" x14ac:dyDescent="0.25"/>
    <row r="5435" ht="18" customHeight="1" x14ac:dyDescent="0.25"/>
    <row r="5436" ht="18" customHeight="1" x14ac:dyDescent="0.25"/>
    <row r="5437" ht="18" customHeight="1" x14ac:dyDescent="0.25"/>
    <row r="5438" ht="18" customHeight="1" x14ac:dyDescent="0.25"/>
    <row r="5439" ht="18" customHeight="1" x14ac:dyDescent="0.25"/>
    <row r="5440" ht="18" customHeight="1" x14ac:dyDescent="0.25"/>
    <row r="5441" ht="18" customHeight="1" x14ac:dyDescent="0.25"/>
    <row r="5442" ht="18" customHeight="1" x14ac:dyDescent="0.25"/>
    <row r="5443" ht="18" customHeight="1" x14ac:dyDescent="0.25"/>
    <row r="5444" ht="18" customHeight="1" x14ac:dyDescent="0.25"/>
    <row r="5445" ht="18" customHeight="1" x14ac:dyDescent="0.25"/>
    <row r="5446" ht="18" customHeight="1" x14ac:dyDescent="0.25"/>
    <row r="5447" ht="18" customHeight="1" x14ac:dyDescent="0.25"/>
    <row r="5448" ht="18" customHeight="1" x14ac:dyDescent="0.25"/>
    <row r="5449" ht="18" customHeight="1" x14ac:dyDescent="0.25"/>
    <row r="5450" ht="18" customHeight="1" x14ac:dyDescent="0.25"/>
    <row r="5451" ht="18" customHeight="1" x14ac:dyDescent="0.25"/>
    <row r="5452" ht="18" customHeight="1" x14ac:dyDescent="0.25"/>
    <row r="5453" ht="18" customHeight="1" x14ac:dyDescent="0.25"/>
    <row r="5454" ht="18" customHeight="1" x14ac:dyDescent="0.25"/>
    <row r="5455" ht="18" customHeight="1" x14ac:dyDescent="0.25"/>
    <row r="5456" ht="18" customHeight="1" x14ac:dyDescent="0.25"/>
    <row r="5457" ht="18" customHeight="1" x14ac:dyDescent="0.25"/>
    <row r="5458" ht="18" customHeight="1" x14ac:dyDescent="0.25"/>
    <row r="5459" ht="18" customHeight="1" x14ac:dyDescent="0.25"/>
    <row r="5460" ht="18" customHeight="1" x14ac:dyDescent="0.25"/>
    <row r="5461" ht="18" customHeight="1" x14ac:dyDescent="0.25"/>
    <row r="5462" ht="18" customHeight="1" x14ac:dyDescent="0.25"/>
    <row r="5463" ht="18" customHeight="1" x14ac:dyDescent="0.25"/>
    <row r="5464" ht="18" customHeight="1" x14ac:dyDescent="0.25"/>
    <row r="5465" ht="18" customHeight="1" x14ac:dyDescent="0.25"/>
    <row r="5466" ht="18" customHeight="1" x14ac:dyDescent="0.25"/>
    <row r="5467" ht="18" customHeight="1" x14ac:dyDescent="0.25"/>
    <row r="5468" ht="18" customHeight="1" x14ac:dyDescent="0.25"/>
    <row r="5469" ht="18" customHeight="1" x14ac:dyDescent="0.25"/>
    <row r="5470" ht="18" customHeight="1" x14ac:dyDescent="0.25"/>
    <row r="5471" ht="18" customHeight="1" x14ac:dyDescent="0.25"/>
    <row r="5472" ht="18" customHeight="1" x14ac:dyDescent="0.25"/>
    <row r="5473" ht="18" customHeight="1" x14ac:dyDescent="0.25"/>
    <row r="5474" ht="18" customHeight="1" x14ac:dyDescent="0.25"/>
    <row r="5475" ht="18" customHeight="1" x14ac:dyDescent="0.25"/>
    <row r="5476" ht="18" customHeight="1" x14ac:dyDescent="0.25"/>
    <row r="5477" ht="18" customHeight="1" x14ac:dyDescent="0.25"/>
    <row r="5478" ht="18" customHeight="1" x14ac:dyDescent="0.25"/>
    <row r="5479" ht="18" customHeight="1" x14ac:dyDescent="0.25"/>
    <row r="5480" ht="18" customHeight="1" x14ac:dyDescent="0.25"/>
    <row r="5481" ht="18" customHeight="1" x14ac:dyDescent="0.25"/>
    <row r="5482" ht="18" customHeight="1" x14ac:dyDescent="0.25"/>
    <row r="5483" ht="18" customHeight="1" x14ac:dyDescent="0.25"/>
    <row r="5484" ht="18" customHeight="1" x14ac:dyDescent="0.25"/>
    <row r="5485" ht="18" customHeight="1" x14ac:dyDescent="0.25"/>
    <row r="5486" ht="18" customHeight="1" x14ac:dyDescent="0.25"/>
    <row r="5487" ht="18" customHeight="1" x14ac:dyDescent="0.25"/>
    <row r="5488" ht="18" customHeight="1" x14ac:dyDescent="0.25"/>
    <row r="5489" ht="18" customHeight="1" x14ac:dyDescent="0.25"/>
    <row r="5490" ht="18" customHeight="1" x14ac:dyDescent="0.25"/>
    <row r="5491" ht="18" customHeight="1" x14ac:dyDescent="0.25"/>
    <row r="5492" ht="18" customHeight="1" x14ac:dyDescent="0.25"/>
    <row r="5493" ht="18" customHeight="1" x14ac:dyDescent="0.25"/>
    <row r="5494" ht="18" customHeight="1" x14ac:dyDescent="0.25"/>
    <row r="5495" ht="18" customHeight="1" x14ac:dyDescent="0.25"/>
    <row r="5496" ht="18" customHeight="1" x14ac:dyDescent="0.25"/>
    <row r="5497" ht="18" customHeight="1" x14ac:dyDescent="0.25"/>
    <row r="5498" ht="18" customHeight="1" x14ac:dyDescent="0.25"/>
    <row r="5499" ht="18" customHeight="1" x14ac:dyDescent="0.25"/>
    <row r="5500" ht="18" customHeight="1" x14ac:dyDescent="0.25"/>
    <row r="5501" ht="18" customHeight="1" x14ac:dyDescent="0.25"/>
    <row r="5502" ht="18" customHeight="1" x14ac:dyDescent="0.25"/>
    <row r="5503" ht="18" customHeight="1" x14ac:dyDescent="0.25"/>
    <row r="5504" ht="18" customHeight="1" x14ac:dyDescent="0.25"/>
    <row r="5505" ht="18" customHeight="1" x14ac:dyDescent="0.25"/>
    <row r="5506" ht="18" customHeight="1" x14ac:dyDescent="0.25"/>
    <row r="5507" ht="18" customHeight="1" x14ac:dyDescent="0.25"/>
    <row r="5508" ht="18" customHeight="1" x14ac:dyDescent="0.25"/>
    <row r="5509" ht="18" customHeight="1" x14ac:dyDescent="0.25"/>
    <row r="5510" ht="18" customHeight="1" x14ac:dyDescent="0.25"/>
    <row r="5511" ht="18" customHeight="1" x14ac:dyDescent="0.25"/>
    <row r="5512" ht="18" customHeight="1" x14ac:dyDescent="0.25"/>
    <row r="5513" ht="18" customHeight="1" x14ac:dyDescent="0.25"/>
    <row r="5514" ht="18" customHeight="1" x14ac:dyDescent="0.25"/>
    <row r="5515" ht="18" customHeight="1" x14ac:dyDescent="0.25"/>
    <row r="5516" ht="18" customHeight="1" x14ac:dyDescent="0.25"/>
    <row r="5517" ht="18" customHeight="1" x14ac:dyDescent="0.25"/>
    <row r="5518" ht="18" customHeight="1" x14ac:dyDescent="0.25"/>
    <row r="5519" ht="18" customHeight="1" x14ac:dyDescent="0.25"/>
    <row r="5520" ht="18" customHeight="1" x14ac:dyDescent="0.25"/>
    <row r="5521" ht="18" customHeight="1" x14ac:dyDescent="0.25"/>
    <row r="5522" ht="18" customHeight="1" x14ac:dyDescent="0.25"/>
    <row r="5523" ht="18" customHeight="1" x14ac:dyDescent="0.25"/>
    <row r="5524" ht="18" customHeight="1" x14ac:dyDescent="0.25"/>
    <row r="5525" ht="18" customHeight="1" x14ac:dyDescent="0.25"/>
    <row r="5526" ht="18" customHeight="1" x14ac:dyDescent="0.25"/>
    <row r="5527" ht="18" customHeight="1" x14ac:dyDescent="0.25"/>
    <row r="5528" ht="18" customHeight="1" x14ac:dyDescent="0.25"/>
    <row r="5529" ht="18" customHeight="1" x14ac:dyDescent="0.25"/>
    <row r="5530" ht="18" customHeight="1" x14ac:dyDescent="0.25"/>
    <row r="5531" ht="18" customHeight="1" x14ac:dyDescent="0.25"/>
    <row r="5532" ht="18" customHeight="1" x14ac:dyDescent="0.25"/>
    <row r="5533" ht="18" customHeight="1" x14ac:dyDescent="0.25"/>
    <row r="5534" ht="18" customHeight="1" x14ac:dyDescent="0.25"/>
    <row r="5535" ht="18" customHeight="1" x14ac:dyDescent="0.25"/>
    <row r="5536" ht="18" customHeight="1" x14ac:dyDescent="0.25"/>
    <row r="5537" ht="18" customHeight="1" x14ac:dyDescent="0.25"/>
    <row r="5538" ht="18" customHeight="1" x14ac:dyDescent="0.25"/>
    <row r="5539" ht="18" customHeight="1" x14ac:dyDescent="0.25"/>
    <row r="5540" ht="18" customHeight="1" x14ac:dyDescent="0.25"/>
    <row r="5541" ht="18" customHeight="1" x14ac:dyDescent="0.25"/>
    <row r="5542" ht="18" customHeight="1" x14ac:dyDescent="0.25"/>
    <row r="5543" ht="18" customHeight="1" x14ac:dyDescent="0.25"/>
    <row r="5544" ht="18" customHeight="1" x14ac:dyDescent="0.25"/>
    <row r="5545" ht="18" customHeight="1" x14ac:dyDescent="0.25"/>
    <row r="5546" ht="18" customHeight="1" x14ac:dyDescent="0.25"/>
    <row r="5547" ht="18" customHeight="1" x14ac:dyDescent="0.25"/>
    <row r="5548" ht="18" customHeight="1" x14ac:dyDescent="0.25"/>
    <row r="5549" ht="18" customHeight="1" x14ac:dyDescent="0.25"/>
    <row r="5550" ht="18" customHeight="1" x14ac:dyDescent="0.25"/>
    <row r="5551" ht="18" customHeight="1" x14ac:dyDescent="0.25"/>
    <row r="5552" ht="18" customHeight="1" x14ac:dyDescent="0.25"/>
    <row r="5553" ht="18" customHeight="1" x14ac:dyDescent="0.25"/>
    <row r="5554" ht="18" customHeight="1" x14ac:dyDescent="0.25"/>
    <row r="5555" ht="18" customHeight="1" x14ac:dyDescent="0.25"/>
    <row r="5556" ht="18" customHeight="1" x14ac:dyDescent="0.25"/>
    <row r="5557" ht="18" customHeight="1" x14ac:dyDescent="0.25"/>
    <row r="5558" ht="18" customHeight="1" x14ac:dyDescent="0.25"/>
    <row r="5559" ht="18" customHeight="1" x14ac:dyDescent="0.25"/>
    <row r="5560" ht="18" customHeight="1" x14ac:dyDescent="0.25"/>
    <row r="5561" ht="18" customHeight="1" x14ac:dyDescent="0.25"/>
    <row r="5562" ht="18" customHeight="1" x14ac:dyDescent="0.25"/>
    <row r="5563" ht="18" customHeight="1" x14ac:dyDescent="0.25"/>
    <row r="5564" ht="18" customHeight="1" x14ac:dyDescent="0.25"/>
    <row r="5565" ht="18" customHeight="1" x14ac:dyDescent="0.25"/>
    <row r="5566" ht="18" customHeight="1" x14ac:dyDescent="0.25"/>
    <row r="5567" ht="18" customHeight="1" x14ac:dyDescent="0.25"/>
    <row r="5568" ht="18" customHeight="1" x14ac:dyDescent="0.25"/>
    <row r="5569" ht="18" customHeight="1" x14ac:dyDescent="0.25"/>
    <row r="5570" ht="18" customHeight="1" x14ac:dyDescent="0.25"/>
    <row r="5571" ht="18" customHeight="1" x14ac:dyDescent="0.25"/>
    <row r="5572" ht="18" customHeight="1" x14ac:dyDescent="0.25"/>
    <row r="5573" ht="18" customHeight="1" x14ac:dyDescent="0.25"/>
    <row r="5574" ht="18" customHeight="1" x14ac:dyDescent="0.25"/>
    <row r="5575" ht="18" customHeight="1" x14ac:dyDescent="0.25"/>
    <row r="5576" ht="18" customHeight="1" x14ac:dyDescent="0.25"/>
    <row r="5577" ht="18" customHeight="1" x14ac:dyDescent="0.25"/>
    <row r="5578" ht="18" customHeight="1" x14ac:dyDescent="0.25"/>
    <row r="5579" ht="18" customHeight="1" x14ac:dyDescent="0.25"/>
    <row r="5580" ht="18" customHeight="1" x14ac:dyDescent="0.25"/>
    <row r="5581" ht="18" customHeight="1" x14ac:dyDescent="0.25"/>
    <row r="5582" ht="18" customHeight="1" x14ac:dyDescent="0.25"/>
    <row r="5583" ht="18" customHeight="1" x14ac:dyDescent="0.25"/>
    <row r="5584" ht="18" customHeight="1" x14ac:dyDescent="0.25"/>
    <row r="5585" ht="18" customHeight="1" x14ac:dyDescent="0.25"/>
    <row r="5586" ht="18" customHeight="1" x14ac:dyDescent="0.25"/>
    <row r="5587" ht="18" customHeight="1" x14ac:dyDescent="0.25"/>
    <row r="5588" ht="18" customHeight="1" x14ac:dyDescent="0.25"/>
    <row r="5589" ht="18" customHeight="1" x14ac:dyDescent="0.25"/>
    <row r="5590" ht="18" customHeight="1" x14ac:dyDescent="0.25"/>
    <row r="5591" ht="18" customHeight="1" x14ac:dyDescent="0.25"/>
    <row r="5592" ht="18" customHeight="1" x14ac:dyDescent="0.25"/>
    <row r="5593" ht="18" customHeight="1" x14ac:dyDescent="0.25"/>
    <row r="5594" ht="18" customHeight="1" x14ac:dyDescent="0.25"/>
    <row r="5595" ht="18" customHeight="1" x14ac:dyDescent="0.25"/>
    <row r="5596" ht="18" customHeight="1" x14ac:dyDescent="0.25"/>
    <row r="5597" ht="18" customHeight="1" x14ac:dyDescent="0.25"/>
    <row r="5598" ht="18" customHeight="1" x14ac:dyDescent="0.25"/>
    <row r="5599" ht="18" customHeight="1" x14ac:dyDescent="0.25"/>
    <row r="5600" ht="18" customHeight="1" x14ac:dyDescent="0.25"/>
    <row r="5601" ht="18" customHeight="1" x14ac:dyDescent="0.25"/>
    <row r="5602" ht="18" customHeight="1" x14ac:dyDescent="0.25"/>
    <row r="5603" ht="18" customHeight="1" x14ac:dyDescent="0.25"/>
    <row r="5604" ht="18" customHeight="1" x14ac:dyDescent="0.25"/>
    <row r="5605" ht="18" customHeight="1" x14ac:dyDescent="0.25"/>
    <row r="5606" ht="18" customHeight="1" x14ac:dyDescent="0.25"/>
    <row r="5607" ht="18" customHeight="1" x14ac:dyDescent="0.25"/>
    <row r="5608" ht="18" customHeight="1" x14ac:dyDescent="0.25"/>
    <row r="5609" ht="18" customHeight="1" x14ac:dyDescent="0.25"/>
    <row r="5610" ht="18" customHeight="1" x14ac:dyDescent="0.25"/>
    <row r="5611" ht="18" customHeight="1" x14ac:dyDescent="0.25"/>
    <row r="5612" ht="18" customHeight="1" x14ac:dyDescent="0.25"/>
    <row r="5613" ht="18" customHeight="1" x14ac:dyDescent="0.25"/>
    <row r="5614" ht="18" customHeight="1" x14ac:dyDescent="0.25"/>
    <row r="5615" ht="18" customHeight="1" x14ac:dyDescent="0.25"/>
    <row r="5616" ht="18" customHeight="1" x14ac:dyDescent="0.25"/>
    <row r="5617" ht="18" customHeight="1" x14ac:dyDescent="0.25"/>
    <row r="5618" ht="18" customHeight="1" x14ac:dyDescent="0.25"/>
    <row r="5619" ht="18" customHeight="1" x14ac:dyDescent="0.25"/>
    <row r="5620" ht="18" customHeight="1" x14ac:dyDescent="0.25"/>
    <row r="5621" ht="18" customHeight="1" x14ac:dyDescent="0.25"/>
    <row r="5622" ht="18" customHeight="1" x14ac:dyDescent="0.25"/>
    <row r="5623" ht="18" customHeight="1" x14ac:dyDescent="0.25"/>
    <row r="5624" ht="18" customHeight="1" x14ac:dyDescent="0.25"/>
    <row r="5625" ht="18" customHeight="1" x14ac:dyDescent="0.25"/>
    <row r="5626" ht="18" customHeight="1" x14ac:dyDescent="0.25"/>
    <row r="5627" ht="18" customHeight="1" x14ac:dyDescent="0.25"/>
    <row r="5628" ht="18" customHeight="1" x14ac:dyDescent="0.25"/>
    <row r="5629" ht="18" customHeight="1" x14ac:dyDescent="0.25"/>
    <row r="5630" ht="18" customHeight="1" x14ac:dyDescent="0.25"/>
    <row r="5631" ht="18" customHeight="1" x14ac:dyDescent="0.25"/>
    <row r="5632" ht="18" customHeight="1" x14ac:dyDescent="0.25"/>
    <row r="5633" ht="18" customHeight="1" x14ac:dyDescent="0.25"/>
    <row r="5634" ht="18" customHeight="1" x14ac:dyDescent="0.25"/>
    <row r="5635" ht="18" customHeight="1" x14ac:dyDescent="0.25"/>
    <row r="5636" ht="18" customHeight="1" x14ac:dyDescent="0.25"/>
    <row r="5637" ht="18" customHeight="1" x14ac:dyDescent="0.25"/>
    <row r="5638" ht="18" customHeight="1" x14ac:dyDescent="0.25"/>
    <row r="5639" ht="18" customHeight="1" x14ac:dyDescent="0.25"/>
    <row r="5640" ht="18" customHeight="1" x14ac:dyDescent="0.25"/>
    <row r="5641" ht="18" customHeight="1" x14ac:dyDescent="0.25"/>
    <row r="5642" ht="18" customHeight="1" x14ac:dyDescent="0.25"/>
    <row r="5643" ht="18" customHeight="1" x14ac:dyDescent="0.25"/>
    <row r="5644" ht="18" customHeight="1" x14ac:dyDescent="0.25"/>
    <row r="5645" ht="18" customHeight="1" x14ac:dyDescent="0.25"/>
    <row r="5646" ht="18" customHeight="1" x14ac:dyDescent="0.25"/>
    <row r="5647" ht="18" customHeight="1" x14ac:dyDescent="0.25"/>
    <row r="5648" ht="18" customHeight="1" x14ac:dyDescent="0.25"/>
    <row r="5649" ht="18" customHeight="1" x14ac:dyDescent="0.25"/>
    <row r="5650" ht="18" customHeight="1" x14ac:dyDescent="0.25"/>
    <row r="5651" ht="18" customHeight="1" x14ac:dyDescent="0.25"/>
    <row r="5652" ht="18" customHeight="1" x14ac:dyDescent="0.25"/>
    <row r="5653" ht="18" customHeight="1" x14ac:dyDescent="0.25"/>
    <row r="5654" ht="18" customHeight="1" x14ac:dyDescent="0.25"/>
    <row r="5655" ht="18" customHeight="1" x14ac:dyDescent="0.25"/>
    <row r="5656" ht="18" customHeight="1" x14ac:dyDescent="0.25"/>
    <row r="5657" ht="18" customHeight="1" x14ac:dyDescent="0.25"/>
    <row r="5658" ht="18" customHeight="1" x14ac:dyDescent="0.25"/>
    <row r="5659" ht="18" customHeight="1" x14ac:dyDescent="0.25"/>
    <row r="5660" ht="18" customHeight="1" x14ac:dyDescent="0.25"/>
    <row r="5661" ht="18" customHeight="1" x14ac:dyDescent="0.25"/>
    <row r="5662" ht="18" customHeight="1" x14ac:dyDescent="0.25"/>
    <row r="5663" ht="18" customHeight="1" x14ac:dyDescent="0.25"/>
    <row r="5664" ht="18" customHeight="1" x14ac:dyDescent="0.25"/>
    <row r="5665" ht="18" customHeight="1" x14ac:dyDescent="0.25"/>
    <row r="5666" ht="18" customHeight="1" x14ac:dyDescent="0.25"/>
    <row r="5667" ht="18" customHeight="1" x14ac:dyDescent="0.25"/>
    <row r="5668" ht="18" customHeight="1" x14ac:dyDescent="0.25"/>
    <row r="5669" ht="18" customHeight="1" x14ac:dyDescent="0.25"/>
    <row r="5670" ht="18" customHeight="1" x14ac:dyDescent="0.25"/>
    <row r="5671" ht="18" customHeight="1" x14ac:dyDescent="0.25"/>
    <row r="5672" ht="18" customHeight="1" x14ac:dyDescent="0.25"/>
    <row r="5673" ht="18" customHeight="1" x14ac:dyDescent="0.25"/>
    <row r="5674" ht="18" customHeight="1" x14ac:dyDescent="0.25"/>
    <row r="5675" ht="18" customHeight="1" x14ac:dyDescent="0.25"/>
    <row r="5676" ht="18" customHeight="1" x14ac:dyDescent="0.25"/>
    <row r="5677" ht="18" customHeight="1" x14ac:dyDescent="0.25"/>
    <row r="5678" ht="18" customHeight="1" x14ac:dyDescent="0.25"/>
    <row r="5679" ht="18" customHeight="1" x14ac:dyDescent="0.25"/>
    <row r="5680" ht="18" customHeight="1" x14ac:dyDescent="0.25"/>
    <row r="5681" ht="18" customHeight="1" x14ac:dyDescent="0.25"/>
    <row r="5682" ht="18" customHeight="1" x14ac:dyDescent="0.25"/>
    <row r="5683" ht="18" customHeight="1" x14ac:dyDescent="0.25"/>
    <row r="5684" ht="18" customHeight="1" x14ac:dyDescent="0.25"/>
    <row r="5685" ht="18" customHeight="1" x14ac:dyDescent="0.25"/>
    <row r="5686" ht="18" customHeight="1" x14ac:dyDescent="0.25"/>
    <row r="5687" ht="18" customHeight="1" x14ac:dyDescent="0.25"/>
    <row r="5688" ht="18" customHeight="1" x14ac:dyDescent="0.25"/>
    <row r="5689" ht="18" customHeight="1" x14ac:dyDescent="0.25"/>
    <row r="5690" ht="18" customHeight="1" x14ac:dyDescent="0.25"/>
    <row r="5691" ht="18" customHeight="1" x14ac:dyDescent="0.25"/>
    <row r="5692" ht="18" customHeight="1" x14ac:dyDescent="0.25"/>
    <row r="5693" ht="18" customHeight="1" x14ac:dyDescent="0.25"/>
    <row r="5694" ht="18" customHeight="1" x14ac:dyDescent="0.25"/>
    <row r="5695" ht="18" customHeight="1" x14ac:dyDescent="0.25"/>
    <row r="5696" ht="18" customHeight="1" x14ac:dyDescent="0.25"/>
    <row r="5697" ht="18" customHeight="1" x14ac:dyDescent="0.25"/>
    <row r="5698" ht="18" customHeight="1" x14ac:dyDescent="0.25"/>
    <row r="5699" ht="18" customHeight="1" x14ac:dyDescent="0.25"/>
    <row r="5700" ht="18" customHeight="1" x14ac:dyDescent="0.25"/>
    <row r="5701" ht="18" customHeight="1" x14ac:dyDescent="0.25"/>
    <row r="5702" ht="18" customHeight="1" x14ac:dyDescent="0.25"/>
    <row r="5703" ht="18" customHeight="1" x14ac:dyDescent="0.25"/>
    <row r="5704" ht="18" customHeight="1" x14ac:dyDescent="0.25"/>
    <row r="5705" ht="18" customHeight="1" x14ac:dyDescent="0.25"/>
    <row r="5706" ht="18" customHeight="1" x14ac:dyDescent="0.25"/>
    <row r="5707" ht="18" customHeight="1" x14ac:dyDescent="0.25"/>
    <row r="5708" ht="18" customHeight="1" x14ac:dyDescent="0.25"/>
    <row r="5709" ht="18" customHeight="1" x14ac:dyDescent="0.25"/>
    <row r="5710" ht="18" customHeight="1" x14ac:dyDescent="0.25"/>
    <row r="5711" ht="18" customHeight="1" x14ac:dyDescent="0.25"/>
    <row r="5712" ht="18" customHeight="1" x14ac:dyDescent="0.25"/>
    <row r="5713" ht="18" customHeight="1" x14ac:dyDescent="0.25"/>
    <row r="5714" ht="18" customHeight="1" x14ac:dyDescent="0.25"/>
    <row r="5715" ht="18" customHeight="1" x14ac:dyDescent="0.25"/>
    <row r="5716" ht="18" customHeight="1" x14ac:dyDescent="0.25"/>
    <row r="5717" ht="18" customHeight="1" x14ac:dyDescent="0.25"/>
    <row r="5718" ht="18" customHeight="1" x14ac:dyDescent="0.25"/>
    <row r="5719" ht="18" customHeight="1" x14ac:dyDescent="0.25"/>
    <row r="5720" ht="18" customHeight="1" x14ac:dyDescent="0.25"/>
    <row r="5721" ht="18" customHeight="1" x14ac:dyDescent="0.25"/>
    <row r="5722" ht="18" customHeight="1" x14ac:dyDescent="0.25"/>
    <row r="5723" ht="18" customHeight="1" x14ac:dyDescent="0.25"/>
    <row r="5724" ht="18" customHeight="1" x14ac:dyDescent="0.25"/>
    <row r="5725" ht="18" customHeight="1" x14ac:dyDescent="0.25"/>
    <row r="5726" ht="18" customHeight="1" x14ac:dyDescent="0.25"/>
    <row r="5727" ht="18" customHeight="1" x14ac:dyDescent="0.25"/>
    <row r="5728" ht="18" customHeight="1" x14ac:dyDescent="0.25"/>
    <row r="5729" ht="18" customHeight="1" x14ac:dyDescent="0.25"/>
    <row r="5730" ht="18" customHeight="1" x14ac:dyDescent="0.25"/>
    <row r="5731" ht="18" customHeight="1" x14ac:dyDescent="0.25"/>
    <row r="5732" ht="18" customHeight="1" x14ac:dyDescent="0.25"/>
    <row r="5733" ht="18" customHeight="1" x14ac:dyDescent="0.25"/>
    <row r="5734" ht="18" customHeight="1" x14ac:dyDescent="0.25"/>
    <row r="5735" ht="18" customHeight="1" x14ac:dyDescent="0.25"/>
    <row r="5736" ht="18" customHeight="1" x14ac:dyDescent="0.25"/>
    <row r="5737" ht="18" customHeight="1" x14ac:dyDescent="0.25"/>
    <row r="5738" ht="18" customHeight="1" x14ac:dyDescent="0.25"/>
    <row r="5739" ht="18" customHeight="1" x14ac:dyDescent="0.25"/>
    <row r="5740" ht="18" customHeight="1" x14ac:dyDescent="0.25"/>
    <row r="5741" ht="18" customHeight="1" x14ac:dyDescent="0.25"/>
    <row r="5742" ht="18" customHeight="1" x14ac:dyDescent="0.25"/>
    <row r="5743" ht="18" customHeight="1" x14ac:dyDescent="0.25"/>
    <row r="5744" ht="18" customHeight="1" x14ac:dyDescent="0.25"/>
    <row r="5745" ht="18" customHeight="1" x14ac:dyDescent="0.25"/>
    <row r="5746" ht="18" customHeight="1" x14ac:dyDescent="0.25"/>
    <row r="5747" ht="18" customHeight="1" x14ac:dyDescent="0.25"/>
    <row r="5748" ht="18" customHeight="1" x14ac:dyDescent="0.25"/>
    <row r="5749" ht="18" customHeight="1" x14ac:dyDescent="0.25"/>
    <row r="5750" ht="18" customHeight="1" x14ac:dyDescent="0.25"/>
    <row r="5751" ht="18" customHeight="1" x14ac:dyDescent="0.25"/>
    <row r="5752" ht="18" customHeight="1" x14ac:dyDescent="0.25"/>
    <row r="5753" ht="18" customHeight="1" x14ac:dyDescent="0.25"/>
    <row r="5754" ht="18" customHeight="1" x14ac:dyDescent="0.25"/>
    <row r="5755" ht="18" customHeight="1" x14ac:dyDescent="0.25"/>
    <row r="5756" ht="18" customHeight="1" x14ac:dyDescent="0.25"/>
    <row r="5757" ht="18" customHeight="1" x14ac:dyDescent="0.25"/>
    <row r="5758" ht="18" customHeight="1" x14ac:dyDescent="0.25"/>
    <row r="5759" ht="18" customHeight="1" x14ac:dyDescent="0.25"/>
    <row r="5760" ht="18" customHeight="1" x14ac:dyDescent="0.25"/>
    <row r="5761" ht="18" customHeight="1" x14ac:dyDescent="0.25"/>
    <row r="5762" ht="18" customHeight="1" x14ac:dyDescent="0.25"/>
    <row r="5763" ht="18" customHeight="1" x14ac:dyDescent="0.25"/>
    <row r="5764" ht="18" customHeight="1" x14ac:dyDescent="0.25"/>
    <row r="5765" ht="18" customHeight="1" x14ac:dyDescent="0.25"/>
    <row r="5766" ht="18" customHeight="1" x14ac:dyDescent="0.25"/>
    <row r="5767" ht="18" customHeight="1" x14ac:dyDescent="0.25"/>
    <row r="5768" ht="18" customHeight="1" x14ac:dyDescent="0.25"/>
    <row r="5769" ht="18" customHeight="1" x14ac:dyDescent="0.25"/>
    <row r="5770" ht="18" customHeight="1" x14ac:dyDescent="0.25"/>
    <row r="5771" ht="18" customHeight="1" x14ac:dyDescent="0.25"/>
    <row r="5772" ht="18" customHeight="1" x14ac:dyDescent="0.25"/>
    <row r="5773" ht="18" customHeight="1" x14ac:dyDescent="0.25"/>
    <row r="5774" ht="18" customHeight="1" x14ac:dyDescent="0.25"/>
    <row r="5775" ht="18" customHeight="1" x14ac:dyDescent="0.25"/>
    <row r="5776" ht="18" customHeight="1" x14ac:dyDescent="0.25"/>
    <row r="5777" ht="18" customHeight="1" x14ac:dyDescent="0.25"/>
    <row r="5778" ht="18" customHeight="1" x14ac:dyDescent="0.25"/>
    <row r="5779" ht="18" customHeight="1" x14ac:dyDescent="0.25"/>
    <row r="5780" ht="18" customHeight="1" x14ac:dyDescent="0.25"/>
    <row r="5781" ht="18" customHeight="1" x14ac:dyDescent="0.25"/>
    <row r="5782" ht="18" customHeight="1" x14ac:dyDescent="0.25"/>
    <row r="5783" ht="18" customHeight="1" x14ac:dyDescent="0.25"/>
    <row r="5784" ht="18" customHeight="1" x14ac:dyDescent="0.25"/>
    <row r="5785" ht="18" customHeight="1" x14ac:dyDescent="0.25"/>
    <row r="5786" ht="18" customHeight="1" x14ac:dyDescent="0.25"/>
    <row r="5787" ht="18" customHeight="1" x14ac:dyDescent="0.25"/>
    <row r="5788" ht="18" customHeight="1" x14ac:dyDescent="0.25"/>
    <row r="5789" ht="18" customHeight="1" x14ac:dyDescent="0.25"/>
    <row r="5790" ht="18" customHeight="1" x14ac:dyDescent="0.25"/>
    <row r="5791" ht="18" customHeight="1" x14ac:dyDescent="0.25"/>
    <row r="5792" ht="18" customHeight="1" x14ac:dyDescent="0.25"/>
    <row r="5793" ht="18" customHeight="1" x14ac:dyDescent="0.25"/>
    <row r="5794" ht="18" customHeight="1" x14ac:dyDescent="0.25"/>
    <row r="5795" ht="18" customHeight="1" x14ac:dyDescent="0.25"/>
    <row r="5796" ht="18" customHeight="1" x14ac:dyDescent="0.25"/>
    <row r="5797" ht="18" customHeight="1" x14ac:dyDescent="0.25"/>
    <row r="5798" ht="18" customHeight="1" x14ac:dyDescent="0.25"/>
    <row r="5799" ht="18" customHeight="1" x14ac:dyDescent="0.25"/>
    <row r="5800" ht="18" customHeight="1" x14ac:dyDescent="0.25"/>
    <row r="5801" ht="18" customHeight="1" x14ac:dyDescent="0.25"/>
    <row r="5802" ht="18" customHeight="1" x14ac:dyDescent="0.25"/>
    <row r="5803" ht="18" customHeight="1" x14ac:dyDescent="0.25"/>
    <row r="5804" ht="18" customHeight="1" x14ac:dyDescent="0.25"/>
    <row r="5805" ht="18" customHeight="1" x14ac:dyDescent="0.25"/>
    <row r="5806" ht="18" customHeight="1" x14ac:dyDescent="0.25"/>
    <row r="5807" ht="18" customHeight="1" x14ac:dyDescent="0.25"/>
    <row r="5808" ht="18" customHeight="1" x14ac:dyDescent="0.25"/>
    <row r="5809" ht="18" customHeight="1" x14ac:dyDescent="0.25"/>
    <row r="5810" ht="18" customHeight="1" x14ac:dyDescent="0.25"/>
    <row r="5811" ht="18" customHeight="1" x14ac:dyDescent="0.25"/>
    <row r="5812" ht="18" customHeight="1" x14ac:dyDescent="0.25"/>
    <row r="5813" ht="18" customHeight="1" x14ac:dyDescent="0.25"/>
    <row r="5814" ht="18" customHeight="1" x14ac:dyDescent="0.25"/>
    <row r="5815" ht="18" customHeight="1" x14ac:dyDescent="0.25"/>
    <row r="5816" ht="18" customHeight="1" x14ac:dyDescent="0.25"/>
    <row r="5817" ht="18" customHeight="1" x14ac:dyDescent="0.25"/>
    <row r="5818" ht="18" customHeight="1" x14ac:dyDescent="0.25"/>
    <row r="5819" ht="18" customHeight="1" x14ac:dyDescent="0.25"/>
    <row r="5820" ht="18" customHeight="1" x14ac:dyDescent="0.25"/>
    <row r="5821" ht="18" customHeight="1" x14ac:dyDescent="0.25"/>
    <row r="5822" ht="18" customHeight="1" x14ac:dyDescent="0.25"/>
    <row r="5823" ht="18" customHeight="1" x14ac:dyDescent="0.25"/>
    <row r="5824" ht="18" customHeight="1" x14ac:dyDescent="0.25"/>
    <row r="5825" ht="18" customHeight="1" x14ac:dyDescent="0.25"/>
    <row r="5826" ht="18" customHeight="1" x14ac:dyDescent="0.25"/>
    <row r="5827" ht="18" customHeight="1" x14ac:dyDescent="0.25"/>
    <row r="5828" ht="18" customHeight="1" x14ac:dyDescent="0.25"/>
    <row r="5829" ht="18" customHeight="1" x14ac:dyDescent="0.25"/>
    <row r="5830" ht="18" customHeight="1" x14ac:dyDescent="0.25"/>
    <row r="5831" ht="18" customHeight="1" x14ac:dyDescent="0.25"/>
    <row r="5832" ht="18" customHeight="1" x14ac:dyDescent="0.25"/>
    <row r="5833" ht="18" customHeight="1" x14ac:dyDescent="0.25"/>
    <row r="5834" ht="18" customHeight="1" x14ac:dyDescent="0.25"/>
    <row r="5835" ht="18" customHeight="1" x14ac:dyDescent="0.25"/>
    <row r="5836" ht="18" customHeight="1" x14ac:dyDescent="0.25"/>
    <row r="5837" ht="18" customHeight="1" x14ac:dyDescent="0.25"/>
    <row r="5838" ht="18" customHeight="1" x14ac:dyDescent="0.25"/>
    <row r="5839" ht="18" customHeight="1" x14ac:dyDescent="0.25"/>
    <row r="5840" ht="18" customHeight="1" x14ac:dyDescent="0.25"/>
    <row r="5841" ht="18" customHeight="1" x14ac:dyDescent="0.25"/>
    <row r="5842" ht="18" customHeight="1" x14ac:dyDescent="0.25"/>
    <row r="5843" ht="18" customHeight="1" x14ac:dyDescent="0.25"/>
    <row r="5844" ht="18" customHeight="1" x14ac:dyDescent="0.25"/>
    <row r="5845" ht="18" customHeight="1" x14ac:dyDescent="0.25"/>
    <row r="5846" ht="18" customHeight="1" x14ac:dyDescent="0.25"/>
    <row r="5847" ht="18" customHeight="1" x14ac:dyDescent="0.25"/>
    <row r="5848" ht="18" customHeight="1" x14ac:dyDescent="0.25"/>
    <row r="5849" ht="18" customHeight="1" x14ac:dyDescent="0.25"/>
    <row r="5850" ht="18" customHeight="1" x14ac:dyDescent="0.25"/>
    <row r="5851" ht="18" customHeight="1" x14ac:dyDescent="0.25"/>
    <row r="5852" ht="18" customHeight="1" x14ac:dyDescent="0.25"/>
    <row r="5853" ht="18" customHeight="1" x14ac:dyDescent="0.25"/>
    <row r="5854" ht="18" customHeight="1" x14ac:dyDescent="0.25"/>
    <row r="5855" ht="18" customHeight="1" x14ac:dyDescent="0.25"/>
    <row r="5856" ht="18" customHeight="1" x14ac:dyDescent="0.25"/>
    <row r="5857" ht="18" customHeight="1" x14ac:dyDescent="0.25"/>
    <row r="5858" ht="18" customHeight="1" x14ac:dyDescent="0.25"/>
    <row r="5859" ht="18" customHeight="1" x14ac:dyDescent="0.25"/>
    <row r="5860" ht="18" customHeight="1" x14ac:dyDescent="0.25"/>
    <row r="5861" ht="18" customHeight="1" x14ac:dyDescent="0.25"/>
    <row r="5862" ht="18" customHeight="1" x14ac:dyDescent="0.25"/>
    <row r="5863" ht="18" customHeight="1" x14ac:dyDescent="0.25"/>
    <row r="5864" ht="18" customHeight="1" x14ac:dyDescent="0.25"/>
    <row r="5865" ht="18" customHeight="1" x14ac:dyDescent="0.25"/>
    <row r="5866" ht="18" customHeight="1" x14ac:dyDescent="0.25"/>
    <row r="5867" ht="18" customHeight="1" x14ac:dyDescent="0.25"/>
    <row r="5868" ht="18" customHeight="1" x14ac:dyDescent="0.25"/>
    <row r="5869" ht="18" customHeight="1" x14ac:dyDescent="0.25"/>
    <row r="5870" ht="18" customHeight="1" x14ac:dyDescent="0.25"/>
    <row r="5871" ht="18" customHeight="1" x14ac:dyDescent="0.25"/>
    <row r="5872" ht="18" customHeight="1" x14ac:dyDescent="0.25"/>
    <row r="5873" ht="18" customHeight="1" x14ac:dyDescent="0.25"/>
    <row r="5874" ht="18" customHeight="1" x14ac:dyDescent="0.25"/>
    <row r="5875" ht="18" customHeight="1" x14ac:dyDescent="0.25"/>
    <row r="5876" ht="18" customHeight="1" x14ac:dyDescent="0.25"/>
    <row r="5877" ht="18" customHeight="1" x14ac:dyDescent="0.25"/>
    <row r="5878" ht="18" customHeight="1" x14ac:dyDescent="0.25"/>
    <row r="5879" ht="18" customHeight="1" x14ac:dyDescent="0.25"/>
    <row r="5880" ht="18" customHeight="1" x14ac:dyDescent="0.25"/>
    <row r="5881" ht="18" customHeight="1" x14ac:dyDescent="0.25"/>
    <row r="5882" ht="18" customHeight="1" x14ac:dyDescent="0.25"/>
    <row r="5883" ht="18" customHeight="1" x14ac:dyDescent="0.25"/>
    <row r="5884" ht="18" customHeight="1" x14ac:dyDescent="0.25"/>
    <row r="5885" ht="18" customHeight="1" x14ac:dyDescent="0.25"/>
    <row r="5886" ht="18" customHeight="1" x14ac:dyDescent="0.25"/>
    <row r="5887" ht="18" customHeight="1" x14ac:dyDescent="0.25"/>
    <row r="5888" ht="18" customHeight="1" x14ac:dyDescent="0.25"/>
    <row r="5889" ht="18" customHeight="1" x14ac:dyDescent="0.25"/>
    <row r="5890" ht="18" customHeight="1" x14ac:dyDescent="0.25"/>
    <row r="5891" ht="18" customHeight="1" x14ac:dyDescent="0.25"/>
    <row r="5892" ht="18" customHeight="1" x14ac:dyDescent="0.25"/>
    <row r="5893" ht="18" customHeight="1" x14ac:dyDescent="0.25"/>
    <row r="5894" ht="18" customHeight="1" x14ac:dyDescent="0.25"/>
    <row r="5895" ht="18" customHeight="1" x14ac:dyDescent="0.25"/>
    <row r="5896" ht="18" customHeight="1" x14ac:dyDescent="0.25"/>
    <row r="5897" ht="18" customHeight="1" x14ac:dyDescent="0.25"/>
    <row r="5898" ht="18" customHeight="1" x14ac:dyDescent="0.25"/>
    <row r="5899" ht="18" customHeight="1" x14ac:dyDescent="0.25"/>
    <row r="5900" ht="18" customHeight="1" x14ac:dyDescent="0.25"/>
    <row r="5901" ht="18" customHeight="1" x14ac:dyDescent="0.25"/>
    <row r="5902" ht="18" customHeight="1" x14ac:dyDescent="0.25"/>
    <row r="5903" ht="18" customHeight="1" x14ac:dyDescent="0.25"/>
    <row r="5904" ht="18" customHeight="1" x14ac:dyDescent="0.25"/>
    <row r="5905" ht="18" customHeight="1" x14ac:dyDescent="0.25"/>
    <row r="5906" ht="18" customHeight="1" x14ac:dyDescent="0.25"/>
    <row r="5907" ht="18" customHeight="1" x14ac:dyDescent="0.25"/>
    <row r="5908" ht="18" customHeight="1" x14ac:dyDescent="0.25"/>
    <row r="5909" ht="18" customHeight="1" x14ac:dyDescent="0.25"/>
    <row r="5910" ht="18" customHeight="1" x14ac:dyDescent="0.25"/>
    <row r="5911" ht="18" customHeight="1" x14ac:dyDescent="0.25"/>
    <row r="5912" ht="18" customHeight="1" x14ac:dyDescent="0.25"/>
    <row r="5913" ht="18" customHeight="1" x14ac:dyDescent="0.25"/>
    <row r="5914" ht="18" customHeight="1" x14ac:dyDescent="0.25"/>
    <row r="5915" ht="18" customHeight="1" x14ac:dyDescent="0.25"/>
    <row r="5916" ht="18" customHeight="1" x14ac:dyDescent="0.25"/>
    <row r="5917" ht="18" customHeight="1" x14ac:dyDescent="0.25"/>
    <row r="5918" ht="18" customHeight="1" x14ac:dyDescent="0.25"/>
    <row r="5919" ht="18" customHeight="1" x14ac:dyDescent="0.25"/>
    <row r="5920" ht="18" customHeight="1" x14ac:dyDescent="0.25"/>
    <row r="5921" ht="18" customHeight="1" x14ac:dyDescent="0.25"/>
    <row r="5922" ht="18" customHeight="1" x14ac:dyDescent="0.25"/>
    <row r="5923" ht="18" customHeight="1" x14ac:dyDescent="0.25"/>
    <row r="5924" ht="18" customHeight="1" x14ac:dyDescent="0.25"/>
    <row r="5925" ht="18" customHeight="1" x14ac:dyDescent="0.25"/>
    <row r="5926" ht="18" customHeight="1" x14ac:dyDescent="0.25"/>
    <row r="5927" ht="18" customHeight="1" x14ac:dyDescent="0.25"/>
    <row r="5928" ht="18" customHeight="1" x14ac:dyDescent="0.25"/>
    <row r="5929" ht="18" customHeight="1" x14ac:dyDescent="0.25"/>
    <row r="5930" ht="18" customHeight="1" x14ac:dyDescent="0.25"/>
    <row r="5931" ht="18" customHeight="1" x14ac:dyDescent="0.25"/>
    <row r="5932" ht="18" customHeight="1" x14ac:dyDescent="0.25"/>
    <row r="5933" ht="18" customHeight="1" x14ac:dyDescent="0.25"/>
    <row r="5934" ht="18" customHeight="1" x14ac:dyDescent="0.25"/>
    <row r="5935" ht="18" customHeight="1" x14ac:dyDescent="0.25"/>
    <row r="5936" ht="18" customHeight="1" x14ac:dyDescent="0.25"/>
    <row r="5937" ht="18" customHeight="1" x14ac:dyDescent="0.25"/>
    <row r="5938" ht="18" customHeight="1" x14ac:dyDescent="0.25"/>
    <row r="5939" ht="18" customHeight="1" x14ac:dyDescent="0.25"/>
    <row r="5940" ht="18" customHeight="1" x14ac:dyDescent="0.25"/>
    <row r="5941" ht="18" customHeight="1" x14ac:dyDescent="0.25"/>
    <row r="5942" ht="18" customHeight="1" x14ac:dyDescent="0.25"/>
    <row r="5943" ht="18" customHeight="1" x14ac:dyDescent="0.25"/>
    <row r="5944" ht="18" customHeight="1" x14ac:dyDescent="0.25"/>
    <row r="5945" ht="18" customHeight="1" x14ac:dyDescent="0.25"/>
    <row r="5946" ht="18" customHeight="1" x14ac:dyDescent="0.25"/>
    <row r="5947" ht="18" customHeight="1" x14ac:dyDescent="0.25"/>
    <row r="5948" ht="18" customHeight="1" x14ac:dyDescent="0.25"/>
    <row r="5949" ht="18" customHeight="1" x14ac:dyDescent="0.25"/>
    <row r="5950" ht="18" customHeight="1" x14ac:dyDescent="0.25"/>
    <row r="5951" ht="18" customHeight="1" x14ac:dyDescent="0.25"/>
    <row r="5952" ht="18" customHeight="1" x14ac:dyDescent="0.25"/>
    <row r="5953" ht="18" customHeight="1" x14ac:dyDescent="0.25"/>
    <row r="5954" ht="18" customHeight="1" x14ac:dyDescent="0.25"/>
    <row r="5955" ht="18" customHeight="1" x14ac:dyDescent="0.25"/>
    <row r="5956" ht="18" customHeight="1" x14ac:dyDescent="0.25"/>
    <row r="5957" ht="18" customHeight="1" x14ac:dyDescent="0.25"/>
    <row r="5958" ht="18" customHeight="1" x14ac:dyDescent="0.25"/>
    <row r="5959" ht="18" customHeight="1" x14ac:dyDescent="0.25"/>
    <row r="5960" ht="18" customHeight="1" x14ac:dyDescent="0.25"/>
    <row r="5961" ht="18" customHeight="1" x14ac:dyDescent="0.25"/>
    <row r="5962" ht="18" customHeight="1" x14ac:dyDescent="0.25"/>
    <row r="5963" ht="18" customHeight="1" x14ac:dyDescent="0.25"/>
    <row r="5964" ht="18" customHeight="1" x14ac:dyDescent="0.25"/>
    <row r="5965" ht="18" customHeight="1" x14ac:dyDescent="0.25"/>
    <row r="5966" ht="18" customHeight="1" x14ac:dyDescent="0.25"/>
    <row r="5967" ht="18" customHeight="1" x14ac:dyDescent="0.25"/>
    <row r="5968" ht="18" customHeight="1" x14ac:dyDescent="0.25"/>
    <row r="5969" ht="18" customHeight="1" x14ac:dyDescent="0.25"/>
    <row r="5970" ht="18" customHeight="1" x14ac:dyDescent="0.25"/>
    <row r="5971" ht="18" customHeight="1" x14ac:dyDescent="0.25"/>
    <row r="5972" ht="18" customHeight="1" x14ac:dyDescent="0.25"/>
    <row r="5973" ht="18" customHeight="1" x14ac:dyDescent="0.25"/>
    <row r="5974" ht="18" customHeight="1" x14ac:dyDescent="0.25"/>
    <row r="5975" ht="18" customHeight="1" x14ac:dyDescent="0.25"/>
    <row r="5976" ht="18" customHeight="1" x14ac:dyDescent="0.25"/>
    <row r="5977" ht="18" customHeight="1" x14ac:dyDescent="0.25"/>
    <row r="5978" ht="18" customHeight="1" x14ac:dyDescent="0.25"/>
    <row r="5979" ht="18" customHeight="1" x14ac:dyDescent="0.25"/>
    <row r="5980" ht="18" customHeight="1" x14ac:dyDescent="0.25"/>
    <row r="5981" ht="18" customHeight="1" x14ac:dyDescent="0.25"/>
    <row r="5982" ht="18" customHeight="1" x14ac:dyDescent="0.25"/>
    <row r="5983" ht="18" customHeight="1" x14ac:dyDescent="0.25"/>
    <row r="5984" ht="18" customHeight="1" x14ac:dyDescent="0.25"/>
    <row r="5985" ht="18" customHeight="1" x14ac:dyDescent="0.25"/>
    <row r="5986" ht="18" customHeight="1" x14ac:dyDescent="0.25"/>
    <row r="5987" ht="18" customHeight="1" x14ac:dyDescent="0.25"/>
    <row r="5988" ht="18" customHeight="1" x14ac:dyDescent="0.25"/>
    <row r="5989" ht="18" customHeight="1" x14ac:dyDescent="0.25"/>
    <row r="5990" ht="18" customHeight="1" x14ac:dyDescent="0.25"/>
    <row r="5991" ht="18" customHeight="1" x14ac:dyDescent="0.25"/>
    <row r="5992" ht="18" customHeight="1" x14ac:dyDescent="0.25"/>
    <row r="5993" ht="18" customHeight="1" x14ac:dyDescent="0.25"/>
    <row r="5994" ht="18" customHeight="1" x14ac:dyDescent="0.25"/>
    <row r="5995" ht="18" customHeight="1" x14ac:dyDescent="0.25"/>
    <row r="5996" ht="18" customHeight="1" x14ac:dyDescent="0.25"/>
    <row r="5997" ht="18" customHeight="1" x14ac:dyDescent="0.25"/>
    <row r="5998" ht="18" customHeight="1" x14ac:dyDescent="0.25"/>
    <row r="5999" ht="18" customHeight="1" x14ac:dyDescent="0.25"/>
    <row r="6000" ht="18" customHeight="1" x14ac:dyDescent="0.25"/>
    <row r="6001" ht="18" customHeight="1" x14ac:dyDescent="0.25"/>
    <row r="6002" ht="18" customHeight="1" x14ac:dyDescent="0.25"/>
    <row r="6003" ht="18" customHeight="1" x14ac:dyDescent="0.25"/>
    <row r="6004" ht="18" customHeight="1" x14ac:dyDescent="0.25"/>
    <row r="6005" ht="18" customHeight="1" x14ac:dyDescent="0.25"/>
    <row r="6006" ht="18" customHeight="1" x14ac:dyDescent="0.25"/>
    <row r="6007" ht="18" customHeight="1" x14ac:dyDescent="0.25"/>
    <row r="6008" ht="18" customHeight="1" x14ac:dyDescent="0.25"/>
    <row r="6009" ht="18" customHeight="1" x14ac:dyDescent="0.25"/>
    <row r="6010" ht="18" customHeight="1" x14ac:dyDescent="0.25"/>
    <row r="6011" ht="18" customHeight="1" x14ac:dyDescent="0.25"/>
    <row r="6012" ht="18" customHeight="1" x14ac:dyDescent="0.25"/>
    <row r="6013" ht="18" customHeight="1" x14ac:dyDescent="0.25"/>
    <row r="6014" ht="18" customHeight="1" x14ac:dyDescent="0.25"/>
    <row r="6015" ht="18" customHeight="1" x14ac:dyDescent="0.25"/>
    <row r="6016" ht="18" customHeight="1" x14ac:dyDescent="0.25"/>
    <row r="6017" ht="18" customHeight="1" x14ac:dyDescent="0.25"/>
    <row r="6018" ht="18" customHeight="1" x14ac:dyDescent="0.25"/>
    <row r="6019" ht="18" customHeight="1" x14ac:dyDescent="0.25"/>
    <row r="6020" ht="18" customHeight="1" x14ac:dyDescent="0.25"/>
    <row r="6021" ht="18" customHeight="1" x14ac:dyDescent="0.25"/>
    <row r="6022" ht="18" customHeight="1" x14ac:dyDescent="0.25"/>
    <row r="6023" ht="18" customHeight="1" x14ac:dyDescent="0.25"/>
    <row r="6024" ht="18" customHeight="1" x14ac:dyDescent="0.25"/>
    <row r="6025" ht="18" customHeight="1" x14ac:dyDescent="0.25"/>
    <row r="6026" ht="18" customHeight="1" x14ac:dyDescent="0.25"/>
    <row r="6027" ht="18" customHeight="1" x14ac:dyDescent="0.25"/>
    <row r="6028" ht="18" customHeight="1" x14ac:dyDescent="0.25"/>
    <row r="6029" ht="18" customHeight="1" x14ac:dyDescent="0.25"/>
    <row r="6030" ht="18" customHeight="1" x14ac:dyDescent="0.25"/>
    <row r="6031" ht="18" customHeight="1" x14ac:dyDescent="0.25"/>
    <row r="6032" ht="18" customHeight="1" x14ac:dyDescent="0.25"/>
    <row r="6033" ht="18" customHeight="1" x14ac:dyDescent="0.25"/>
    <row r="6034" ht="18" customHeight="1" x14ac:dyDescent="0.25"/>
    <row r="6035" ht="18" customHeight="1" x14ac:dyDescent="0.25"/>
    <row r="6036" ht="18" customHeight="1" x14ac:dyDescent="0.25"/>
    <row r="6037" ht="18" customHeight="1" x14ac:dyDescent="0.25"/>
    <row r="6038" ht="18" customHeight="1" x14ac:dyDescent="0.25"/>
    <row r="6039" ht="18" customHeight="1" x14ac:dyDescent="0.25"/>
    <row r="6040" ht="18" customHeight="1" x14ac:dyDescent="0.25"/>
    <row r="6041" ht="18" customHeight="1" x14ac:dyDescent="0.25"/>
    <row r="6042" ht="18" customHeight="1" x14ac:dyDescent="0.25"/>
    <row r="6043" ht="18" customHeight="1" x14ac:dyDescent="0.25"/>
    <row r="6044" ht="18" customHeight="1" x14ac:dyDescent="0.25"/>
    <row r="6045" ht="18" customHeight="1" x14ac:dyDescent="0.25"/>
    <row r="6046" ht="18" customHeight="1" x14ac:dyDescent="0.25"/>
    <row r="6047" ht="18" customHeight="1" x14ac:dyDescent="0.25"/>
    <row r="6048" ht="18" customHeight="1" x14ac:dyDescent="0.25"/>
    <row r="6049" ht="18" customHeight="1" x14ac:dyDescent="0.25"/>
    <row r="6050" ht="18" customHeight="1" x14ac:dyDescent="0.25"/>
    <row r="6051" ht="18" customHeight="1" x14ac:dyDescent="0.25"/>
    <row r="6052" ht="18" customHeight="1" x14ac:dyDescent="0.25"/>
    <row r="6053" ht="18" customHeight="1" x14ac:dyDescent="0.25"/>
    <row r="6054" ht="18" customHeight="1" x14ac:dyDescent="0.25"/>
    <row r="6055" ht="18" customHeight="1" x14ac:dyDescent="0.25"/>
    <row r="6056" ht="18" customHeight="1" x14ac:dyDescent="0.25"/>
    <row r="6057" ht="18" customHeight="1" x14ac:dyDescent="0.25"/>
    <row r="6058" ht="18" customHeight="1" x14ac:dyDescent="0.25"/>
    <row r="6059" ht="18" customHeight="1" x14ac:dyDescent="0.25"/>
    <row r="6060" ht="18" customHeight="1" x14ac:dyDescent="0.25"/>
    <row r="6061" ht="18" customHeight="1" x14ac:dyDescent="0.25"/>
    <row r="6062" ht="18" customHeight="1" x14ac:dyDescent="0.25"/>
    <row r="6063" ht="18" customHeight="1" x14ac:dyDescent="0.25"/>
    <row r="6064" ht="18" customHeight="1" x14ac:dyDescent="0.25"/>
    <row r="6065" ht="18" customHeight="1" x14ac:dyDescent="0.25"/>
    <row r="6066" ht="18" customHeight="1" x14ac:dyDescent="0.25"/>
    <row r="6067" ht="18" customHeight="1" x14ac:dyDescent="0.25"/>
    <row r="6068" ht="18" customHeight="1" x14ac:dyDescent="0.25"/>
    <row r="6069" ht="18" customHeight="1" x14ac:dyDescent="0.25"/>
    <row r="6070" ht="18" customHeight="1" x14ac:dyDescent="0.25"/>
    <row r="6071" ht="18" customHeight="1" x14ac:dyDescent="0.25"/>
    <row r="6072" ht="18" customHeight="1" x14ac:dyDescent="0.25"/>
    <row r="6073" ht="18" customHeight="1" x14ac:dyDescent="0.25"/>
    <row r="6074" ht="18" customHeight="1" x14ac:dyDescent="0.25"/>
    <row r="6075" ht="18" customHeight="1" x14ac:dyDescent="0.25"/>
    <row r="6076" ht="18" customHeight="1" x14ac:dyDescent="0.25"/>
    <row r="6077" ht="18" customHeight="1" x14ac:dyDescent="0.25"/>
    <row r="6078" ht="18" customHeight="1" x14ac:dyDescent="0.25"/>
    <row r="6079" ht="18" customHeight="1" x14ac:dyDescent="0.25"/>
    <row r="6080" ht="18" customHeight="1" x14ac:dyDescent="0.25"/>
    <row r="6081" ht="18" customHeight="1" x14ac:dyDescent="0.25"/>
    <row r="6082" ht="18" customHeight="1" x14ac:dyDescent="0.25"/>
    <row r="6083" ht="18" customHeight="1" x14ac:dyDescent="0.25"/>
    <row r="6084" ht="18" customHeight="1" x14ac:dyDescent="0.25"/>
    <row r="6085" ht="18" customHeight="1" x14ac:dyDescent="0.25"/>
    <row r="6086" ht="18" customHeight="1" x14ac:dyDescent="0.25"/>
    <row r="6087" ht="18" customHeight="1" x14ac:dyDescent="0.25"/>
    <row r="6088" ht="18" customHeight="1" x14ac:dyDescent="0.25"/>
    <row r="6089" ht="18" customHeight="1" x14ac:dyDescent="0.25"/>
    <row r="6090" ht="18" customHeight="1" x14ac:dyDescent="0.25"/>
    <row r="6091" ht="18" customHeight="1" x14ac:dyDescent="0.25"/>
    <row r="6092" ht="18" customHeight="1" x14ac:dyDescent="0.25"/>
    <row r="6093" ht="18" customHeight="1" x14ac:dyDescent="0.25"/>
    <row r="6094" ht="18" customHeight="1" x14ac:dyDescent="0.25"/>
    <row r="6095" ht="18" customHeight="1" x14ac:dyDescent="0.25"/>
    <row r="6096" ht="18" customHeight="1" x14ac:dyDescent="0.25"/>
    <row r="6097" ht="18" customHeight="1" x14ac:dyDescent="0.25"/>
    <row r="6098" ht="18" customHeight="1" x14ac:dyDescent="0.25"/>
    <row r="6099" ht="18" customHeight="1" x14ac:dyDescent="0.25"/>
    <row r="6100" ht="18" customHeight="1" x14ac:dyDescent="0.25"/>
    <row r="6101" ht="18" customHeight="1" x14ac:dyDescent="0.25"/>
    <row r="6102" ht="18" customHeight="1" x14ac:dyDescent="0.25"/>
    <row r="6103" ht="18" customHeight="1" x14ac:dyDescent="0.25"/>
    <row r="6104" ht="18" customHeight="1" x14ac:dyDescent="0.25"/>
    <row r="6105" ht="18" customHeight="1" x14ac:dyDescent="0.25"/>
    <row r="6106" ht="18" customHeight="1" x14ac:dyDescent="0.25"/>
    <row r="6107" ht="18" customHeight="1" x14ac:dyDescent="0.25"/>
    <row r="6108" ht="18" customHeight="1" x14ac:dyDescent="0.25"/>
    <row r="6109" ht="18" customHeight="1" x14ac:dyDescent="0.25"/>
    <row r="6110" ht="18" customHeight="1" x14ac:dyDescent="0.25"/>
    <row r="6111" ht="18" customHeight="1" x14ac:dyDescent="0.25"/>
    <row r="6112" ht="18" customHeight="1" x14ac:dyDescent="0.25"/>
    <row r="6113" ht="18" customHeight="1" x14ac:dyDescent="0.25"/>
    <row r="6114" ht="18" customHeight="1" x14ac:dyDescent="0.25"/>
    <row r="6115" ht="18" customHeight="1" x14ac:dyDescent="0.25"/>
    <row r="6116" ht="18" customHeight="1" x14ac:dyDescent="0.25"/>
    <row r="6117" ht="18" customHeight="1" x14ac:dyDescent="0.25"/>
    <row r="6118" ht="18" customHeight="1" x14ac:dyDescent="0.25"/>
    <row r="6119" ht="18" customHeight="1" x14ac:dyDescent="0.25"/>
    <row r="6120" ht="18" customHeight="1" x14ac:dyDescent="0.25"/>
    <row r="6121" ht="18" customHeight="1" x14ac:dyDescent="0.25"/>
    <row r="6122" ht="18" customHeight="1" x14ac:dyDescent="0.25"/>
    <row r="6123" ht="18" customHeight="1" x14ac:dyDescent="0.25"/>
    <row r="6124" ht="18" customHeight="1" x14ac:dyDescent="0.25"/>
    <row r="6125" ht="18" customHeight="1" x14ac:dyDescent="0.25"/>
    <row r="6126" ht="18" customHeight="1" x14ac:dyDescent="0.25"/>
    <row r="6127" ht="18" customHeight="1" x14ac:dyDescent="0.25"/>
    <row r="6128" ht="18" customHeight="1" x14ac:dyDescent="0.25"/>
    <row r="6129" ht="18" customHeight="1" x14ac:dyDescent="0.25"/>
    <row r="6130" ht="18" customHeight="1" x14ac:dyDescent="0.25"/>
    <row r="6131" ht="18" customHeight="1" x14ac:dyDescent="0.25"/>
    <row r="6132" ht="18" customHeight="1" x14ac:dyDescent="0.25"/>
    <row r="6133" ht="18" customHeight="1" x14ac:dyDescent="0.25"/>
    <row r="6134" ht="18" customHeight="1" x14ac:dyDescent="0.25"/>
    <row r="6135" ht="18" customHeight="1" x14ac:dyDescent="0.25"/>
    <row r="6136" ht="18" customHeight="1" x14ac:dyDescent="0.25"/>
    <row r="6137" ht="18" customHeight="1" x14ac:dyDescent="0.25"/>
    <row r="6138" ht="18" customHeight="1" x14ac:dyDescent="0.25"/>
    <row r="6139" ht="18" customHeight="1" x14ac:dyDescent="0.25"/>
    <row r="6140" ht="18" customHeight="1" x14ac:dyDescent="0.25"/>
    <row r="6141" ht="18" customHeight="1" x14ac:dyDescent="0.25"/>
    <row r="6142" ht="18" customHeight="1" x14ac:dyDescent="0.25"/>
    <row r="6143" ht="18" customHeight="1" x14ac:dyDescent="0.25"/>
    <row r="6144" ht="18" customHeight="1" x14ac:dyDescent="0.25"/>
    <row r="6145" ht="18" customHeight="1" x14ac:dyDescent="0.25"/>
    <row r="6146" ht="18" customHeight="1" x14ac:dyDescent="0.25"/>
    <row r="6147" ht="18" customHeight="1" x14ac:dyDescent="0.25"/>
    <row r="6148" ht="18" customHeight="1" x14ac:dyDescent="0.25"/>
    <row r="6149" ht="18" customHeight="1" x14ac:dyDescent="0.25"/>
    <row r="6150" ht="18" customHeight="1" x14ac:dyDescent="0.25"/>
    <row r="6151" ht="18" customHeight="1" x14ac:dyDescent="0.25"/>
    <row r="6152" ht="18" customHeight="1" x14ac:dyDescent="0.25"/>
    <row r="6153" ht="18" customHeight="1" x14ac:dyDescent="0.25"/>
    <row r="6154" ht="18" customHeight="1" x14ac:dyDescent="0.25"/>
    <row r="6155" ht="18" customHeight="1" x14ac:dyDescent="0.25"/>
    <row r="6156" ht="18" customHeight="1" x14ac:dyDescent="0.25"/>
    <row r="6157" ht="18" customHeight="1" x14ac:dyDescent="0.25"/>
    <row r="6158" ht="18" customHeight="1" x14ac:dyDescent="0.25"/>
    <row r="6159" ht="18" customHeight="1" x14ac:dyDescent="0.25"/>
    <row r="6160" ht="18" customHeight="1" x14ac:dyDescent="0.25"/>
    <row r="6161" ht="18" customHeight="1" x14ac:dyDescent="0.25"/>
    <row r="6162" ht="18" customHeight="1" x14ac:dyDescent="0.25"/>
    <row r="6163" ht="18" customHeight="1" x14ac:dyDescent="0.25"/>
    <row r="6164" ht="18" customHeight="1" x14ac:dyDescent="0.25"/>
    <row r="6165" ht="18" customHeight="1" x14ac:dyDescent="0.25"/>
    <row r="6166" ht="18" customHeight="1" x14ac:dyDescent="0.25"/>
    <row r="6167" ht="18" customHeight="1" x14ac:dyDescent="0.25"/>
    <row r="6168" ht="18" customHeight="1" x14ac:dyDescent="0.25"/>
    <row r="6169" ht="18" customHeight="1" x14ac:dyDescent="0.25"/>
    <row r="6170" ht="18" customHeight="1" x14ac:dyDescent="0.25"/>
    <row r="6171" ht="18" customHeight="1" x14ac:dyDescent="0.25"/>
    <row r="6172" ht="18" customHeight="1" x14ac:dyDescent="0.25"/>
    <row r="6173" ht="18" customHeight="1" x14ac:dyDescent="0.25"/>
    <row r="6174" ht="18" customHeight="1" x14ac:dyDescent="0.25"/>
    <row r="6175" ht="18" customHeight="1" x14ac:dyDescent="0.25"/>
    <row r="6176" ht="18" customHeight="1" x14ac:dyDescent="0.25"/>
    <row r="6177" ht="18" customHeight="1" x14ac:dyDescent="0.25"/>
    <row r="6178" ht="18" customHeight="1" x14ac:dyDescent="0.25"/>
    <row r="6179" ht="18" customHeight="1" x14ac:dyDescent="0.25"/>
    <row r="6180" ht="18" customHeight="1" x14ac:dyDescent="0.25"/>
    <row r="6181" ht="18" customHeight="1" x14ac:dyDescent="0.25"/>
    <row r="6182" ht="18" customHeight="1" x14ac:dyDescent="0.25"/>
    <row r="6183" ht="18" customHeight="1" x14ac:dyDescent="0.25"/>
    <row r="6184" ht="18" customHeight="1" x14ac:dyDescent="0.25"/>
    <row r="6185" ht="18" customHeight="1" x14ac:dyDescent="0.25"/>
    <row r="6186" ht="18" customHeight="1" x14ac:dyDescent="0.25"/>
    <row r="6187" ht="18" customHeight="1" x14ac:dyDescent="0.25"/>
    <row r="6188" ht="18" customHeight="1" x14ac:dyDescent="0.25"/>
    <row r="6189" ht="18" customHeight="1" x14ac:dyDescent="0.25"/>
    <row r="6190" ht="18" customHeight="1" x14ac:dyDescent="0.25"/>
    <row r="6191" ht="18" customHeight="1" x14ac:dyDescent="0.25"/>
    <row r="6192" ht="18" customHeight="1" x14ac:dyDescent="0.25"/>
    <row r="6193" ht="18" customHeight="1" x14ac:dyDescent="0.25"/>
    <row r="6194" ht="18" customHeight="1" x14ac:dyDescent="0.25"/>
    <row r="6195" ht="18" customHeight="1" x14ac:dyDescent="0.25"/>
    <row r="6196" ht="18" customHeight="1" x14ac:dyDescent="0.25"/>
    <row r="6197" ht="18" customHeight="1" x14ac:dyDescent="0.25"/>
    <row r="6198" ht="18" customHeight="1" x14ac:dyDescent="0.25"/>
    <row r="6199" ht="18" customHeight="1" x14ac:dyDescent="0.25"/>
    <row r="6200" ht="18" customHeight="1" x14ac:dyDescent="0.25"/>
    <row r="6201" ht="18" customHeight="1" x14ac:dyDescent="0.25"/>
    <row r="6202" ht="18" customHeight="1" x14ac:dyDescent="0.25"/>
    <row r="6203" ht="18" customHeight="1" x14ac:dyDescent="0.25"/>
    <row r="6204" ht="18" customHeight="1" x14ac:dyDescent="0.25"/>
    <row r="6205" ht="18" customHeight="1" x14ac:dyDescent="0.25"/>
    <row r="6206" ht="18" customHeight="1" x14ac:dyDescent="0.25"/>
    <row r="6207" ht="18" customHeight="1" x14ac:dyDescent="0.25"/>
    <row r="6208" ht="18" customHeight="1" x14ac:dyDescent="0.25"/>
    <row r="6209" ht="18" customHeight="1" x14ac:dyDescent="0.25"/>
    <row r="6210" ht="18" customHeight="1" x14ac:dyDescent="0.25"/>
    <row r="6211" ht="18" customHeight="1" x14ac:dyDescent="0.25"/>
    <row r="6212" ht="18" customHeight="1" x14ac:dyDescent="0.25"/>
    <row r="6213" ht="18" customHeight="1" x14ac:dyDescent="0.25"/>
    <row r="6214" ht="18" customHeight="1" x14ac:dyDescent="0.25"/>
    <row r="6215" ht="18" customHeight="1" x14ac:dyDescent="0.25"/>
    <row r="6216" ht="18" customHeight="1" x14ac:dyDescent="0.25"/>
    <row r="6217" ht="18" customHeight="1" x14ac:dyDescent="0.25"/>
    <row r="6218" ht="18" customHeight="1" x14ac:dyDescent="0.25"/>
    <row r="6219" ht="18" customHeight="1" x14ac:dyDescent="0.25"/>
    <row r="6220" ht="18" customHeight="1" x14ac:dyDescent="0.25"/>
    <row r="6221" ht="18" customHeight="1" x14ac:dyDescent="0.25"/>
    <row r="6222" ht="18" customHeight="1" x14ac:dyDescent="0.25"/>
    <row r="6223" ht="18" customHeight="1" x14ac:dyDescent="0.25"/>
    <row r="6224" ht="18" customHeight="1" x14ac:dyDescent="0.25"/>
    <row r="6225" ht="18" customHeight="1" x14ac:dyDescent="0.25"/>
    <row r="6226" ht="18" customHeight="1" x14ac:dyDescent="0.25"/>
    <row r="6227" ht="18" customHeight="1" x14ac:dyDescent="0.25"/>
    <row r="6228" ht="18" customHeight="1" x14ac:dyDescent="0.25"/>
    <row r="6229" ht="18" customHeight="1" x14ac:dyDescent="0.25"/>
    <row r="6230" ht="18" customHeight="1" x14ac:dyDescent="0.25"/>
    <row r="6231" ht="18" customHeight="1" x14ac:dyDescent="0.25"/>
    <row r="6232" ht="18" customHeight="1" x14ac:dyDescent="0.25"/>
    <row r="6233" ht="18" customHeight="1" x14ac:dyDescent="0.25"/>
    <row r="6234" ht="18" customHeight="1" x14ac:dyDescent="0.25"/>
    <row r="6235" ht="18" customHeight="1" x14ac:dyDescent="0.25"/>
    <row r="6236" ht="18" customHeight="1" x14ac:dyDescent="0.25"/>
    <row r="6237" ht="18" customHeight="1" x14ac:dyDescent="0.25"/>
    <row r="6238" ht="18" customHeight="1" x14ac:dyDescent="0.25"/>
    <row r="6239" ht="18" customHeight="1" x14ac:dyDescent="0.25"/>
    <row r="6240" ht="18" customHeight="1" x14ac:dyDescent="0.25"/>
    <row r="6241" ht="18" customHeight="1" x14ac:dyDescent="0.25"/>
    <row r="6242" ht="18" customHeight="1" x14ac:dyDescent="0.25"/>
    <row r="6243" ht="18" customHeight="1" x14ac:dyDescent="0.25"/>
    <row r="6244" ht="18" customHeight="1" x14ac:dyDescent="0.25"/>
    <row r="6245" ht="18" customHeight="1" x14ac:dyDescent="0.25"/>
    <row r="6246" ht="18" customHeight="1" x14ac:dyDescent="0.25"/>
    <row r="6247" ht="18" customHeight="1" x14ac:dyDescent="0.25"/>
    <row r="6248" ht="18" customHeight="1" x14ac:dyDescent="0.25"/>
    <row r="6249" ht="18" customHeight="1" x14ac:dyDescent="0.25"/>
    <row r="6250" ht="18" customHeight="1" x14ac:dyDescent="0.25"/>
    <row r="6251" ht="18" customHeight="1" x14ac:dyDescent="0.25"/>
    <row r="6252" ht="18" customHeight="1" x14ac:dyDescent="0.25"/>
    <row r="6253" ht="18" customHeight="1" x14ac:dyDescent="0.25"/>
    <row r="6254" ht="18" customHeight="1" x14ac:dyDescent="0.25"/>
    <row r="6255" ht="18" customHeight="1" x14ac:dyDescent="0.25"/>
    <row r="6256" ht="18" customHeight="1" x14ac:dyDescent="0.25"/>
    <row r="6257" ht="18" customHeight="1" x14ac:dyDescent="0.25"/>
    <row r="6258" ht="18" customHeight="1" x14ac:dyDescent="0.25"/>
    <row r="6259" ht="18" customHeight="1" x14ac:dyDescent="0.25"/>
    <row r="6260" ht="18" customHeight="1" x14ac:dyDescent="0.25"/>
    <row r="6261" ht="18" customHeight="1" x14ac:dyDescent="0.25"/>
    <row r="6262" ht="18" customHeight="1" x14ac:dyDescent="0.25"/>
    <row r="6263" ht="18" customHeight="1" x14ac:dyDescent="0.25"/>
    <row r="6264" ht="18" customHeight="1" x14ac:dyDescent="0.25"/>
    <row r="6265" ht="18" customHeight="1" x14ac:dyDescent="0.25"/>
    <row r="6266" ht="18" customHeight="1" x14ac:dyDescent="0.25"/>
    <row r="6267" ht="18" customHeight="1" x14ac:dyDescent="0.25"/>
    <row r="6268" ht="18" customHeight="1" x14ac:dyDescent="0.25"/>
    <row r="6269" ht="18" customHeight="1" x14ac:dyDescent="0.25"/>
    <row r="6270" ht="18" customHeight="1" x14ac:dyDescent="0.25"/>
    <row r="6271" ht="18" customHeight="1" x14ac:dyDescent="0.25"/>
    <row r="6272" ht="18" customHeight="1" x14ac:dyDescent="0.25"/>
    <row r="6273" ht="18" customHeight="1" x14ac:dyDescent="0.25"/>
    <row r="6274" ht="18" customHeight="1" x14ac:dyDescent="0.25"/>
    <row r="6275" ht="18" customHeight="1" x14ac:dyDescent="0.25"/>
    <row r="6276" ht="18" customHeight="1" x14ac:dyDescent="0.25"/>
    <row r="6277" ht="18" customHeight="1" x14ac:dyDescent="0.25"/>
    <row r="6278" ht="18" customHeight="1" x14ac:dyDescent="0.25"/>
    <row r="6279" ht="18" customHeight="1" x14ac:dyDescent="0.25"/>
    <row r="6280" ht="18" customHeight="1" x14ac:dyDescent="0.25"/>
    <row r="6281" ht="18" customHeight="1" x14ac:dyDescent="0.25"/>
    <row r="6282" ht="18" customHeight="1" x14ac:dyDescent="0.25"/>
    <row r="6283" ht="18" customHeight="1" x14ac:dyDescent="0.25"/>
    <row r="6284" ht="18" customHeight="1" x14ac:dyDescent="0.25"/>
    <row r="6285" ht="18" customHeight="1" x14ac:dyDescent="0.25"/>
    <row r="6286" ht="18" customHeight="1" x14ac:dyDescent="0.25"/>
    <row r="6287" ht="18" customHeight="1" x14ac:dyDescent="0.25"/>
    <row r="6288" ht="18" customHeight="1" x14ac:dyDescent="0.25"/>
    <row r="6289" ht="18" customHeight="1" x14ac:dyDescent="0.25"/>
    <row r="6290" ht="18" customHeight="1" x14ac:dyDescent="0.25"/>
    <row r="6291" ht="18" customHeight="1" x14ac:dyDescent="0.25"/>
    <row r="6292" ht="18" customHeight="1" x14ac:dyDescent="0.25"/>
    <row r="6293" ht="18" customHeight="1" x14ac:dyDescent="0.25"/>
    <row r="6294" ht="18" customHeight="1" x14ac:dyDescent="0.25"/>
    <row r="6295" ht="18" customHeight="1" x14ac:dyDescent="0.25"/>
    <row r="6296" ht="18" customHeight="1" x14ac:dyDescent="0.25"/>
    <row r="6297" ht="18" customHeight="1" x14ac:dyDescent="0.25"/>
    <row r="6298" ht="18" customHeight="1" x14ac:dyDescent="0.25"/>
    <row r="6299" ht="18" customHeight="1" x14ac:dyDescent="0.25"/>
    <row r="6300" ht="18" customHeight="1" x14ac:dyDescent="0.25"/>
    <row r="6301" ht="18" customHeight="1" x14ac:dyDescent="0.25"/>
    <row r="6302" ht="18" customHeight="1" x14ac:dyDescent="0.25"/>
    <row r="6303" ht="18" customHeight="1" x14ac:dyDescent="0.25"/>
    <row r="6304" ht="18" customHeight="1" x14ac:dyDescent="0.25"/>
    <row r="6305" ht="18" customHeight="1" x14ac:dyDescent="0.25"/>
    <row r="6306" ht="18" customHeight="1" x14ac:dyDescent="0.25"/>
    <row r="6307" ht="18" customHeight="1" x14ac:dyDescent="0.25"/>
    <row r="6308" ht="18" customHeight="1" x14ac:dyDescent="0.25"/>
    <row r="6309" ht="18" customHeight="1" x14ac:dyDescent="0.25"/>
    <row r="6310" ht="18" customHeight="1" x14ac:dyDescent="0.25"/>
    <row r="6311" ht="18" customHeight="1" x14ac:dyDescent="0.25"/>
    <row r="6312" ht="18" customHeight="1" x14ac:dyDescent="0.25"/>
    <row r="6313" ht="18" customHeight="1" x14ac:dyDescent="0.25"/>
    <row r="6314" ht="18" customHeight="1" x14ac:dyDescent="0.25"/>
    <row r="6315" ht="18" customHeight="1" x14ac:dyDescent="0.25"/>
    <row r="6316" ht="18" customHeight="1" x14ac:dyDescent="0.25"/>
    <row r="6317" ht="18" customHeight="1" x14ac:dyDescent="0.25"/>
    <row r="6318" ht="18" customHeight="1" x14ac:dyDescent="0.25"/>
    <row r="6319" ht="18" customHeight="1" x14ac:dyDescent="0.25"/>
    <row r="6320" ht="18" customHeight="1" x14ac:dyDescent="0.25"/>
    <row r="6321" ht="18" customHeight="1" x14ac:dyDescent="0.25"/>
    <row r="6322" ht="18" customHeight="1" x14ac:dyDescent="0.25"/>
    <row r="6323" ht="18" customHeight="1" x14ac:dyDescent="0.25"/>
    <row r="6324" ht="18" customHeight="1" x14ac:dyDescent="0.25"/>
    <row r="6325" ht="18" customHeight="1" x14ac:dyDescent="0.25"/>
    <row r="6326" ht="18" customHeight="1" x14ac:dyDescent="0.25"/>
    <row r="6327" ht="18" customHeight="1" x14ac:dyDescent="0.25"/>
    <row r="6328" ht="18" customHeight="1" x14ac:dyDescent="0.25"/>
    <row r="6329" ht="18" customHeight="1" x14ac:dyDescent="0.25"/>
    <row r="6330" ht="18" customHeight="1" x14ac:dyDescent="0.25"/>
    <row r="6331" ht="18" customHeight="1" x14ac:dyDescent="0.25"/>
    <row r="6332" ht="18" customHeight="1" x14ac:dyDescent="0.25"/>
    <row r="6333" ht="18" customHeight="1" x14ac:dyDescent="0.25"/>
    <row r="6334" ht="18" customHeight="1" x14ac:dyDescent="0.25"/>
    <row r="6335" ht="18" customHeight="1" x14ac:dyDescent="0.25"/>
    <row r="6336" ht="18" customHeight="1" x14ac:dyDescent="0.25"/>
    <row r="6337" ht="18" customHeight="1" x14ac:dyDescent="0.25"/>
    <row r="6338" ht="18" customHeight="1" x14ac:dyDescent="0.25"/>
    <row r="6339" ht="18" customHeight="1" x14ac:dyDescent="0.25"/>
    <row r="6340" ht="18" customHeight="1" x14ac:dyDescent="0.25"/>
    <row r="6341" ht="18" customHeight="1" x14ac:dyDescent="0.25"/>
    <row r="6342" ht="18" customHeight="1" x14ac:dyDescent="0.25"/>
    <row r="6343" ht="18" customHeight="1" x14ac:dyDescent="0.25"/>
    <row r="6344" ht="18" customHeight="1" x14ac:dyDescent="0.25"/>
    <row r="6345" ht="18" customHeight="1" x14ac:dyDescent="0.25"/>
    <row r="6346" ht="18" customHeight="1" x14ac:dyDescent="0.25"/>
    <row r="6347" ht="18" customHeight="1" x14ac:dyDescent="0.25"/>
    <row r="6348" ht="18" customHeight="1" x14ac:dyDescent="0.25"/>
    <row r="6349" ht="18" customHeight="1" x14ac:dyDescent="0.25"/>
    <row r="6350" ht="18" customHeight="1" x14ac:dyDescent="0.25"/>
    <row r="6351" ht="18" customHeight="1" x14ac:dyDescent="0.25"/>
    <row r="6352" ht="18" customHeight="1" x14ac:dyDescent="0.25"/>
    <row r="6353" ht="18" customHeight="1" x14ac:dyDescent="0.25"/>
    <row r="6354" ht="18" customHeight="1" x14ac:dyDescent="0.25"/>
    <row r="6355" ht="18" customHeight="1" x14ac:dyDescent="0.25"/>
    <row r="6356" ht="18" customHeight="1" x14ac:dyDescent="0.25"/>
    <row r="6357" ht="18" customHeight="1" x14ac:dyDescent="0.25"/>
    <row r="6358" ht="18" customHeight="1" x14ac:dyDescent="0.25"/>
    <row r="6359" ht="18" customHeight="1" x14ac:dyDescent="0.25"/>
    <row r="6360" ht="18" customHeight="1" x14ac:dyDescent="0.25"/>
    <row r="6361" ht="18" customHeight="1" x14ac:dyDescent="0.25"/>
    <row r="6362" ht="18" customHeight="1" x14ac:dyDescent="0.25"/>
    <row r="6363" ht="18" customHeight="1" x14ac:dyDescent="0.25"/>
    <row r="6364" ht="18" customHeight="1" x14ac:dyDescent="0.25"/>
    <row r="6365" ht="18" customHeight="1" x14ac:dyDescent="0.25"/>
    <row r="6366" ht="18" customHeight="1" x14ac:dyDescent="0.25"/>
    <row r="6367" ht="18" customHeight="1" x14ac:dyDescent="0.25"/>
    <row r="6368" ht="18" customHeight="1" x14ac:dyDescent="0.25"/>
    <row r="6369" ht="18" customHeight="1" x14ac:dyDescent="0.25"/>
    <row r="6370" ht="18" customHeight="1" x14ac:dyDescent="0.25"/>
    <row r="6371" ht="18" customHeight="1" x14ac:dyDescent="0.25"/>
    <row r="6372" ht="18" customHeight="1" x14ac:dyDescent="0.25"/>
    <row r="6373" ht="18" customHeight="1" x14ac:dyDescent="0.25"/>
    <row r="6374" ht="18" customHeight="1" x14ac:dyDescent="0.25"/>
    <row r="6375" ht="18" customHeight="1" x14ac:dyDescent="0.25"/>
    <row r="6376" ht="18" customHeight="1" x14ac:dyDescent="0.25"/>
    <row r="6377" ht="18" customHeight="1" x14ac:dyDescent="0.25"/>
    <row r="6378" ht="18" customHeight="1" x14ac:dyDescent="0.25"/>
    <row r="6379" ht="18" customHeight="1" x14ac:dyDescent="0.25"/>
    <row r="6380" ht="18" customHeight="1" x14ac:dyDescent="0.25"/>
    <row r="6381" ht="18" customHeight="1" x14ac:dyDescent="0.25"/>
    <row r="6382" ht="18" customHeight="1" x14ac:dyDescent="0.25"/>
    <row r="6383" ht="18" customHeight="1" x14ac:dyDescent="0.25"/>
    <row r="6384" ht="18" customHeight="1" x14ac:dyDescent="0.25"/>
    <row r="6385" ht="18" customHeight="1" x14ac:dyDescent="0.25"/>
    <row r="6386" ht="18" customHeight="1" x14ac:dyDescent="0.25"/>
    <row r="6387" ht="18" customHeight="1" x14ac:dyDescent="0.25"/>
    <row r="6388" ht="18" customHeight="1" x14ac:dyDescent="0.25"/>
    <row r="6389" ht="18" customHeight="1" x14ac:dyDescent="0.25"/>
    <row r="6390" ht="18" customHeight="1" x14ac:dyDescent="0.25"/>
    <row r="6391" ht="18" customHeight="1" x14ac:dyDescent="0.25"/>
    <row r="6392" ht="18" customHeight="1" x14ac:dyDescent="0.25"/>
    <row r="6393" ht="18" customHeight="1" x14ac:dyDescent="0.25"/>
    <row r="6394" ht="18" customHeight="1" x14ac:dyDescent="0.25"/>
    <row r="6395" ht="18" customHeight="1" x14ac:dyDescent="0.25"/>
    <row r="6396" ht="18" customHeight="1" x14ac:dyDescent="0.25"/>
    <row r="6397" ht="18" customHeight="1" x14ac:dyDescent="0.25"/>
    <row r="6398" ht="18" customHeight="1" x14ac:dyDescent="0.25"/>
    <row r="6399" ht="18" customHeight="1" x14ac:dyDescent="0.25"/>
    <row r="6400" ht="18" customHeight="1" x14ac:dyDescent="0.25"/>
    <row r="6401" ht="18" customHeight="1" x14ac:dyDescent="0.25"/>
    <row r="6402" ht="18" customHeight="1" x14ac:dyDescent="0.25"/>
    <row r="6403" ht="18" customHeight="1" x14ac:dyDescent="0.25"/>
    <row r="6404" ht="18" customHeight="1" x14ac:dyDescent="0.25"/>
    <row r="6405" ht="18" customHeight="1" x14ac:dyDescent="0.25"/>
    <row r="6406" ht="18" customHeight="1" x14ac:dyDescent="0.25"/>
    <row r="6407" ht="18" customHeight="1" x14ac:dyDescent="0.25"/>
    <row r="6408" ht="18" customHeight="1" x14ac:dyDescent="0.25"/>
    <row r="6409" ht="18" customHeight="1" x14ac:dyDescent="0.25"/>
    <row r="6410" ht="18" customHeight="1" x14ac:dyDescent="0.25"/>
    <row r="6411" ht="18" customHeight="1" x14ac:dyDescent="0.25"/>
    <row r="6412" ht="18" customHeight="1" x14ac:dyDescent="0.25"/>
    <row r="6413" ht="18" customHeight="1" x14ac:dyDescent="0.25"/>
    <row r="6414" ht="18" customHeight="1" x14ac:dyDescent="0.25"/>
    <row r="6415" ht="18" customHeight="1" x14ac:dyDescent="0.25"/>
    <row r="6416" ht="18" customHeight="1" x14ac:dyDescent="0.25"/>
    <row r="6417" ht="18" customHeight="1" x14ac:dyDescent="0.25"/>
    <row r="6418" ht="18" customHeight="1" x14ac:dyDescent="0.25"/>
    <row r="6419" ht="18" customHeight="1" x14ac:dyDescent="0.25"/>
    <row r="6420" ht="18" customHeight="1" x14ac:dyDescent="0.25"/>
    <row r="6421" ht="18" customHeight="1" x14ac:dyDescent="0.25"/>
    <row r="6422" ht="18" customHeight="1" x14ac:dyDescent="0.25"/>
    <row r="6423" ht="18" customHeight="1" x14ac:dyDescent="0.25"/>
    <row r="6424" ht="18" customHeight="1" x14ac:dyDescent="0.25"/>
    <row r="6425" ht="18" customHeight="1" x14ac:dyDescent="0.25"/>
    <row r="6426" ht="18" customHeight="1" x14ac:dyDescent="0.25"/>
    <row r="6427" ht="18" customHeight="1" x14ac:dyDescent="0.25"/>
    <row r="6428" ht="18" customHeight="1" x14ac:dyDescent="0.25"/>
    <row r="6429" ht="18" customHeight="1" x14ac:dyDescent="0.25"/>
    <row r="6430" ht="18" customHeight="1" x14ac:dyDescent="0.25"/>
    <row r="6431" ht="18" customHeight="1" x14ac:dyDescent="0.25"/>
    <row r="6432" ht="18" customHeight="1" x14ac:dyDescent="0.25"/>
    <row r="6433" ht="18" customHeight="1" x14ac:dyDescent="0.25"/>
    <row r="6434" ht="18" customHeight="1" x14ac:dyDescent="0.25"/>
    <row r="6435" ht="18" customHeight="1" x14ac:dyDescent="0.25"/>
    <row r="6436" ht="18" customHeight="1" x14ac:dyDescent="0.25"/>
    <row r="6437" ht="18" customHeight="1" x14ac:dyDescent="0.25"/>
    <row r="6438" ht="18" customHeight="1" x14ac:dyDescent="0.25"/>
    <row r="6439" ht="18" customHeight="1" x14ac:dyDescent="0.25"/>
    <row r="6440" ht="18" customHeight="1" x14ac:dyDescent="0.25"/>
    <row r="6441" ht="18" customHeight="1" x14ac:dyDescent="0.25"/>
    <row r="6442" ht="18" customHeight="1" x14ac:dyDescent="0.25"/>
    <row r="6443" ht="18" customHeight="1" x14ac:dyDescent="0.25"/>
    <row r="6444" ht="18" customHeight="1" x14ac:dyDescent="0.25"/>
    <row r="6445" ht="18" customHeight="1" x14ac:dyDescent="0.25"/>
    <row r="6446" ht="18" customHeight="1" x14ac:dyDescent="0.25"/>
    <row r="6447" ht="18" customHeight="1" x14ac:dyDescent="0.25"/>
    <row r="6448" ht="18" customHeight="1" x14ac:dyDescent="0.25"/>
    <row r="6449" ht="18" customHeight="1" x14ac:dyDescent="0.25"/>
    <row r="6450" ht="18" customHeight="1" x14ac:dyDescent="0.25"/>
    <row r="6451" ht="18" customHeight="1" x14ac:dyDescent="0.25"/>
    <row r="6452" ht="18" customHeight="1" x14ac:dyDescent="0.25"/>
    <row r="6453" ht="18" customHeight="1" x14ac:dyDescent="0.25"/>
    <row r="6454" ht="18" customHeight="1" x14ac:dyDescent="0.25"/>
    <row r="6455" ht="18" customHeight="1" x14ac:dyDescent="0.25"/>
    <row r="6456" ht="18" customHeight="1" x14ac:dyDescent="0.25"/>
    <row r="6457" ht="18" customHeight="1" x14ac:dyDescent="0.25"/>
    <row r="6458" ht="18" customHeight="1" x14ac:dyDescent="0.25"/>
    <row r="6459" ht="18" customHeight="1" x14ac:dyDescent="0.25"/>
    <row r="6460" ht="18" customHeight="1" x14ac:dyDescent="0.25"/>
    <row r="6461" ht="18" customHeight="1" x14ac:dyDescent="0.25"/>
    <row r="6462" ht="18" customHeight="1" x14ac:dyDescent="0.25"/>
    <row r="6463" ht="18" customHeight="1" x14ac:dyDescent="0.25"/>
    <row r="6464" ht="18" customHeight="1" x14ac:dyDescent="0.25"/>
    <row r="6465" ht="18" customHeight="1" x14ac:dyDescent="0.25"/>
    <row r="6466" ht="18" customHeight="1" x14ac:dyDescent="0.25"/>
    <row r="6467" ht="18" customHeight="1" x14ac:dyDescent="0.25"/>
    <row r="6468" ht="18" customHeight="1" x14ac:dyDescent="0.25"/>
    <row r="6469" ht="18" customHeight="1" x14ac:dyDescent="0.25"/>
    <row r="6470" ht="18" customHeight="1" x14ac:dyDescent="0.25"/>
    <row r="6471" ht="18" customHeight="1" x14ac:dyDescent="0.25"/>
    <row r="6472" ht="18" customHeight="1" x14ac:dyDescent="0.25"/>
    <row r="6473" ht="18" customHeight="1" x14ac:dyDescent="0.25"/>
    <row r="6474" ht="18" customHeight="1" x14ac:dyDescent="0.25"/>
    <row r="6475" ht="18" customHeight="1" x14ac:dyDescent="0.25"/>
    <row r="6476" ht="18" customHeight="1" x14ac:dyDescent="0.25"/>
    <row r="6477" ht="18" customHeight="1" x14ac:dyDescent="0.25"/>
    <row r="6478" ht="18" customHeight="1" x14ac:dyDescent="0.25"/>
    <row r="6479" ht="18" customHeight="1" x14ac:dyDescent="0.25"/>
    <row r="6480" ht="18" customHeight="1" x14ac:dyDescent="0.25"/>
    <row r="6481" ht="18" customHeight="1" x14ac:dyDescent="0.25"/>
    <row r="6482" ht="18" customHeight="1" x14ac:dyDescent="0.25"/>
    <row r="6483" ht="18" customHeight="1" x14ac:dyDescent="0.25"/>
    <row r="6484" ht="18" customHeight="1" x14ac:dyDescent="0.25"/>
    <row r="6485" ht="18" customHeight="1" x14ac:dyDescent="0.25"/>
    <row r="6486" ht="18" customHeight="1" x14ac:dyDescent="0.25"/>
    <row r="6487" ht="18" customHeight="1" x14ac:dyDescent="0.25"/>
    <row r="6488" ht="18" customHeight="1" x14ac:dyDescent="0.25"/>
    <row r="6489" ht="18" customHeight="1" x14ac:dyDescent="0.25"/>
    <row r="6490" ht="18" customHeight="1" x14ac:dyDescent="0.25"/>
    <row r="6491" ht="18" customHeight="1" x14ac:dyDescent="0.25"/>
    <row r="6492" ht="18" customHeight="1" x14ac:dyDescent="0.25"/>
    <row r="6493" ht="18" customHeight="1" x14ac:dyDescent="0.25"/>
    <row r="6494" ht="18" customHeight="1" x14ac:dyDescent="0.25"/>
    <row r="6495" ht="18" customHeight="1" x14ac:dyDescent="0.25"/>
    <row r="6496" ht="18" customHeight="1" x14ac:dyDescent="0.25"/>
    <row r="6497" ht="18" customHeight="1" x14ac:dyDescent="0.25"/>
    <row r="6498" ht="18" customHeight="1" x14ac:dyDescent="0.25"/>
    <row r="6499" ht="18" customHeight="1" x14ac:dyDescent="0.25"/>
    <row r="6500" ht="18" customHeight="1" x14ac:dyDescent="0.25"/>
    <row r="6501" ht="18" customHeight="1" x14ac:dyDescent="0.25"/>
    <row r="6502" ht="18" customHeight="1" x14ac:dyDescent="0.25"/>
    <row r="6503" ht="18" customHeight="1" x14ac:dyDescent="0.25"/>
    <row r="6504" ht="18" customHeight="1" x14ac:dyDescent="0.25"/>
    <row r="6505" ht="18" customHeight="1" x14ac:dyDescent="0.25"/>
    <row r="6506" ht="18" customHeight="1" x14ac:dyDescent="0.25"/>
    <row r="6507" ht="18" customHeight="1" x14ac:dyDescent="0.25"/>
    <row r="6508" ht="18" customHeight="1" x14ac:dyDescent="0.25"/>
    <row r="6509" ht="18" customHeight="1" x14ac:dyDescent="0.25"/>
    <row r="6510" ht="18" customHeight="1" x14ac:dyDescent="0.25"/>
    <row r="6511" ht="18" customHeight="1" x14ac:dyDescent="0.25"/>
    <row r="6512" ht="18" customHeight="1" x14ac:dyDescent="0.25"/>
    <row r="6513" ht="18" customHeight="1" x14ac:dyDescent="0.25"/>
    <row r="6514" ht="18" customHeight="1" x14ac:dyDescent="0.25"/>
    <row r="6515" ht="18" customHeight="1" x14ac:dyDescent="0.25"/>
    <row r="6516" ht="18" customHeight="1" x14ac:dyDescent="0.25"/>
    <row r="6517" ht="18" customHeight="1" x14ac:dyDescent="0.25"/>
    <row r="6518" ht="18" customHeight="1" x14ac:dyDescent="0.25"/>
    <row r="6519" ht="18" customHeight="1" x14ac:dyDescent="0.25"/>
    <row r="6520" ht="18" customHeight="1" x14ac:dyDescent="0.25"/>
    <row r="6521" ht="18" customHeight="1" x14ac:dyDescent="0.25"/>
    <row r="6522" ht="18" customHeight="1" x14ac:dyDescent="0.25"/>
    <row r="6523" ht="18" customHeight="1" x14ac:dyDescent="0.25"/>
    <row r="6524" ht="18" customHeight="1" x14ac:dyDescent="0.25"/>
    <row r="6525" ht="18" customHeight="1" x14ac:dyDescent="0.25"/>
    <row r="6526" ht="18" customHeight="1" x14ac:dyDescent="0.25"/>
    <row r="6527" ht="18" customHeight="1" x14ac:dyDescent="0.25"/>
    <row r="6528" ht="18" customHeight="1" x14ac:dyDescent="0.25"/>
    <row r="6529" ht="18" customHeight="1" x14ac:dyDescent="0.25"/>
    <row r="6530" ht="18" customHeight="1" x14ac:dyDescent="0.25"/>
    <row r="6531" ht="18" customHeight="1" x14ac:dyDescent="0.25"/>
    <row r="6532" ht="18" customHeight="1" x14ac:dyDescent="0.25"/>
    <row r="6533" ht="18" customHeight="1" x14ac:dyDescent="0.25"/>
    <row r="6534" ht="18" customHeight="1" x14ac:dyDescent="0.25"/>
    <row r="6535" ht="18" customHeight="1" x14ac:dyDescent="0.25"/>
    <row r="6536" ht="18" customHeight="1" x14ac:dyDescent="0.25"/>
    <row r="6537" ht="18" customHeight="1" x14ac:dyDescent="0.25"/>
    <row r="6538" ht="18" customHeight="1" x14ac:dyDescent="0.25"/>
    <row r="6539" ht="18" customHeight="1" x14ac:dyDescent="0.25"/>
    <row r="6540" ht="18" customHeight="1" x14ac:dyDescent="0.25"/>
    <row r="6541" ht="18" customHeight="1" x14ac:dyDescent="0.25"/>
    <row r="6542" ht="18" customHeight="1" x14ac:dyDescent="0.25"/>
    <row r="6543" ht="18" customHeight="1" x14ac:dyDescent="0.25"/>
    <row r="6544" ht="18" customHeight="1" x14ac:dyDescent="0.25"/>
    <row r="6545" ht="18" customHeight="1" x14ac:dyDescent="0.25"/>
    <row r="6546" ht="18" customHeight="1" x14ac:dyDescent="0.25"/>
    <row r="6547" ht="18" customHeight="1" x14ac:dyDescent="0.25"/>
    <row r="6548" ht="18" customHeight="1" x14ac:dyDescent="0.25"/>
    <row r="6549" ht="18" customHeight="1" x14ac:dyDescent="0.25"/>
    <row r="6550" ht="18" customHeight="1" x14ac:dyDescent="0.25"/>
    <row r="6551" ht="18" customHeight="1" x14ac:dyDescent="0.25"/>
    <row r="6552" ht="18" customHeight="1" x14ac:dyDescent="0.25"/>
    <row r="6553" ht="18" customHeight="1" x14ac:dyDescent="0.25"/>
    <row r="6554" ht="18" customHeight="1" x14ac:dyDescent="0.25"/>
    <row r="6555" ht="18" customHeight="1" x14ac:dyDescent="0.25"/>
    <row r="6556" ht="18" customHeight="1" x14ac:dyDescent="0.25"/>
    <row r="6557" ht="18" customHeight="1" x14ac:dyDescent="0.25"/>
    <row r="6558" ht="18" customHeight="1" x14ac:dyDescent="0.25"/>
    <row r="6559" ht="18" customHeight="1" x14ac:dyDescent="0.25"/>
    <row r="6560" ht="18" customHeight="1" x14ac:dyDescent="0.25"/>
    <row r="6561" ht="18" customHeight="1" x14ac:dyDescent="0.25"/>
    <row r="6562" ht="18" customHeight="1" x14ac:dyDescent="0.25"/>
    <row r="6563" ht="18" customHeight="1" x14ac:dyDescent="0.25"/>
    <row r="6564" ht="18" customHeight="1" x14ac:dyDescent="0.25"/>
    <row r="6565" ht="18" customHeight="1" x14ac:dyDescent="0.25"/>
    <row r="6566" ht="18" customHeight="1" x14ac:dyDescent="0.25"/>
    <row r="6567" ht="18" customHeight="1" x14ac:dyDescent="0.25"/>
    <row r="6568" ht="18" customHeight="1" x14ac:dyDescent="0.25"/>
    <row r="6569" ht="18" customHeight="1" x14ac:dyDescent="0.25"/>
    <row r="6570" ht="18" customHeight="1" x14ac:dyDescent="0.25"/>
    <row r="6571" ht="18" customHeight="1" x14ac:dyDescent="0.25"/>
    <row r="6572" ht="18" customHeight="1" x14ac:dyDescent="0.25"/>
    <row r="6573" ht="18" customHeight="1" x14ac:dyDescent="0.25"/>
    <row r="6574" ht="18" customHeight="1" x14ac:dyDescent="0.25"/>
    <row r="6575" ht="18" customHeight="1" x14ac:dyDescent="0.25"/>
    <row r="6576" ht="18" customHeight="1" x14ac:dyDescent="0.25"/>
    <row r="6577" ht="18" customHeight="1" x14ac:dyDescent="0.25"/>
    <row r="6578" ht="18" customHeight="1" x14ac:dyDescent="0.25"/>
    <row r="6579" ht="18" customHeight="1" x14ac:dyDescent="0.25"/>
    <row r="6580" ht="18" customHeight="1" x14ac:dyDescent="0.25"/>
    <row r="6581" ht="18" customHeight="1" x14ac:dyDescent="0.25"/>
    <row r="6582" ht="18" customHeight="1" x14ac:dyDescent="0.25"/>
    <row r="6583" ht="18" customHeight="1" x14ac:dyDescent="0.25"/>
    <row r="6584" ht="18" customHeight="1" x14ac:dyDescent="0.25"/>
    <row r="6585" ht="18" customHeight="1" x14ac:dyDescent="0.25"/>
    <row r="6586" ht="18" customHeight="1" x14ac:dyDescent="0.25"/>
    <row r="6587" ht="18" customHeight="1" x14ac:dyDescent="0.25"/>
    <row r="6588" ht="18" customHeight="1" x14ac:dyDescent="0.25"/>
    <row r="6589" ht="18" customHeight="1" x14ac:dyDescent="0.25"/>
    <row r="6590" ht="18" customHeight="1" x14ac:dyDescent="0.25"/>
    <row r="6591" ht="18" customHeight="1" x14ac:dyDescent="0.25"/>
    <row r="6592" ht="18" customHeight="1" x14ac:dyDescent="0.25"/>
    <row r="6593" ht="18" customHeight="1" x14ac:dyDescent="0.25"/>
    <row r="6594" ht="18" customHeight="1" x14ac:dyDescent="0.25"/>
    <row r="6595" ht="18" customHeight="1" x14ac:dyDescent="0.25"/>
    <row r="6596" ht="18" customHeight="1" x14ac:dyDescent="0.25"/>
    <row r="6597" ht="18" customHeight="1" x14ac:dyDescent="0.25"/>
    <row r="6598" ht="18" customHeight="1" x14ac:dyDescent="0.25"/>
    <row r="6599" ht="18" customHeight="1" x14ac:dyDescent="0.25"/>
    <row r="6600" ht="18" customHeight="1" x14ac:dyDescent="0.25"/>
    <row r="6601" ht="18" customHeight="1" x14ac:dyDescent="0.25"/>
    <row r="6602" ht="18" customHeight="1" x14ac:dyDescent="0.25"/>
    <row r="6603" ht="18" customHeight="1" x14ac:dyDescent="0.25"/>
    <row r="6604" ht="18" customHeight="1" x14ac:dyDescent="0.25"/>
    <row r="6605" ht="18" customHeight="1" x14ac:dyDescent="0.25"/>
    <row r="6606" ht="18" customHeight="1" x14ac:dyDescent="0.25"/>
    <row r="6607" ht="18" customHeight="1" x14ac:dyDescent="0.25"/>
    <row r="6608" ht="18" customHeight="1" x14ac:dyDescent="0.25"/>
    <row r="6609" ht="18" customHeight="1" x14ac:dyDescent="0.25"/>
    <row r="6610" ht="18" customHeight="1" x14ac:dyDescent="0.25"/>
    <row r="6611" ht="18" customHeight="1" x14ac:dyDescent="0.25"/>
    <row r="6612" ht="18" customHeight="1" x14ac:dyDescent="0.25"/>
    <row r="6613" ht="18" customHeight="1" x14ac:dyDescent="0.25"/>
    <row r="6614" ht="18" customHeight="1" x14ac:dyDescent="0.25"/>
    <row r="6615" ht="18" customHeight="1" x14ac:dyDescent="0.25"/>
    <row r="6616" ht="18" customHeight="1" x14ac:dyDescent="0.25"/>
    <row r="6617" ht="18" customHeight="1" x14ac:dyDescent="0.25"/>
    <row r="6618" ht="18" customHeight="1" x14ac:dyDescent="0.25"/>
    <row r="6619" ht="18" customHeight="1" x14ac:dyDescent="0.25"/>
    <row r="6620" ht="18" customHeight="1" x14ac:dyDescent="0.25"/>
    <row r="6621" ht="18" customHeight="1" x14ac:dyDescent="0.25"/>
    <row r="6622" ht="18" customHeight="1" x14ac:dyDescent="0.25"/>
    <row r="6623" ht="18" customHeight="1" x14ac:dyDescent="0.25"/>
    <row r="6624" ht="18" customHeight="1" x14ac:dyDescent="0.25"/>
    <row r="6625" ht="18" customHeight="1" x14ac:dyDescent="0.25"/>
    <row r="6626" ht="18" customHeight="1" x14ac:dyDescent="0.25"/>
    <row r="6627" ht="18" customHeight="1" x14ac:dyDescent="0.25"/>
    <row r="6628" ht="18" customHeight="1" x14ac:dyDescent="0.25"/>
    <row r="6629" ht="18" customHeight="1" x14ac:dyDescent="0.25"/>
    <row r="6630" ht="18" customHeight="1" x14ac:dyDescent="0.25"/>
    <row r="6631" ht="18" customHeight="1" x14ac:dyDescent="0.25"/>
    <row r="6632" ht="18" customHeight="1" x14ac:dyDescent="0.25"/>
    <row r="6633" ht="18" customHeight="1" x14ac:dyDescent="0.25"/>
    <row r="6634" ht="18" customHeight="1" x14ac:dyDescent="0.25"/>
    <row r="6635" ht="18" customHeight="1" x14ac:dyDescent="0.25"/>
    <row r="6636" ht="18" customHeight="1" x14ac:dyDescent="0.25"/>
    <row r="6637" ht="18" customHeight="1" x14ac:dyDescent="0.25"/>
    <row r="6638" ht="18" customHeight="1" x14ac:dyDescent="0.25"/>
    <row r="6639" ht="18" customHeight="1" x14ac:dyDescent="0.25"/>
    <row r="6640" ht="18" customHeight="1" x14ac:dyDescent="0.25"/>
    <row r="6641" ht="18" customHeight="1" x14ac:dyDescent="0.25"/>
    <row r="6642" ht="18" customHeight="1" x14ac:dyDescent="0.25"/>
    <row r="6643" ht="18" customHeight="1" x14ac:dyDescent="0.25"/>
    <row r="6644" ht="18" customHeight="1" x14ac:dyDescent="0.25"/>
    <row r="6645" ht="18" customHeight="1" x14ac:dyDescent="0.25"/>
    <row r="6646" ht="18" customHeight="1" x14ac:dyDescent="0.25"/>
    <row r="6647" ht="18" customHeight="1" x14ac:dyDescent="0.25"/>
    <row r="6648" ht="18" customHeight="1" x14ac:dyDescent="0.25"/>
    <row r="6649" ht="18" customHeight="1" x14ac:dyDescent="0.25"/>
    <row r="6650" ht="18" customHeight="1" x14ac:dyDescent="0.25"/>
    <row r="6651" ht="18" customHeight="1" x14ac:dyDescent="0.25"/>
    <row r="6652" ht="18" customHeight="1" x14ac:dyDescent="0.25"/>
    <row r="6653" ht="18" customHeight="1" x14ac:dyDescent="0.25"/>
    <row r="6654" ht="18" customHeight="1" x14ac:dyDescent="0.25"/>
    <row r="6655" ht="18" customHeight="1" x14ac:dyDescent="0.25"/>
    <row r="6656" ht="18" customHeight="1" x14ac:dyDescent="0.25"/>
    <row r="6657" ht="18" customHeight="1" x14ac:dyDescent="0.25"/>
    <row r="6658" ht="18" customHeight="1" x14ac:dyDescent="0.25"/>
    <row r="6659" ht="18" customHeight="1" x14ac:dyDescent="0.25"/>
    <row r="6660" ht="18" customHeight="1" x14ac:dyDescent="0.25"/>
    <row r="6661" ht="18" customHeight="1" x14ac:dyDescent="0.25"/>
    <row r="6662" ht="18" customHeight="1" x14ac:dyDescent="0.25"/>
    <row r="6663" ht="18" customHeight="1" x14ac:dyDescent="0.25"/>
    <row r="6664" ht="18" customHeight="1" x14ac:dyDescent="0.25"/>
    <row r="6665" ht="18" customHeight="1" x14ac:dyDescent="0.25"/>
    <row r="6666" ht="18" customHeight="1" x14ac:dyDescent="0.25"/>
    <row r="6667" ht="18" customHeight="1" x14ac:dyDescent="0.25"/>
    <row r="6668" ht="18" customHeight="1" x14ac:dyDescent="0.25"/>
    <row r="6669" ht="18" customHeight="1" x14ac:dyDescent="0.25"/>
    <row r="6670" ht="18" customHeight="1" x14ac:dyDescent="0.25"/>
    <row r="6671" ht="18" customHeight="1" x14ac:dyDescent="0.25"/>
    <row r="6672" ht="18" customHeight="1" x14ac:dyDescent="0.25"/>
    <row r="6673" ht="18" customHeight="1" x14ac:dyDescent="0.25"/>
    <row r="6674" ht="18" customHeight="1" x14ac:dyDescent="0.25"/>
    <row r="6675" ht="18" customHeight="1" x14ac:dyDescent="0.25"/>
    <row r="6676" ht="18" customHeight="1" x14ac:dyDescent="0.25"/>
    <row r="6677" ht="18" customHeight="1" x14ac:dyDescent="0.25"/>
    <row r="6678" ht="18" customHeight="1" x14ac:dyDescent="0.25"/>
    <row r="6679" ht="18" customHeight="1" x14ac:dyDescent="0.25"/>
    <row r="6680" ht="18" customHeight="1" x14ac:dyDescent="0.25"/>
    <row r="6681" ht="18" customHeight="1" x14ac:dyDescent="0.25"/>
    <row r="6682" ht="18" customHeight="1" x14ac:dyDescent="0.25"/>
    <row r="6683" ht="18" customHeight="1" x14ac:dyDescent="0.25"/>
    <row r="6684" ht="18" customHeight="1" x14ac:dyDescent="0.25"/>
    <row r="6685" ht="18" customHeight="1" x14ac:dyDescent="0.25"/>
    <row r="6686" ht="18" customHeight="1" x14ac:dyDescent="0.25"/>
    <row r="6687" ht="18" customHeight="1" x14ac:dyDescent="0.25"/>
    <row r="6688" ht="18" customHeight="1" x14ac:dyDescent="0.25"/>
    <row r="6689" ht="18" customHeight="1" x14ac:dyDescent="0.25"/>
    <row r="6690" ht="18" customHeight="1" x14ac:dyDescent="0.25"/>
    <row r="6691" ht="18" customHeight="1" x14ac:dyDescent="0.25"/>
    <row r="6692" ht="18" customHeight="1" x14ac:dyDescent="0.25"/>
    <row r="6693" ht="18" customHeight="1" x14ac:dyDescent="0.25"/>
    <row r="6694" ht="18" customHeight="1" x14ac:dyDescent="0.25"/>
    <row r="6695" ht="18" customHeight="1" x14ac:dyDescent="0.25"/>
    <row r="6696" ht="18" customHeight="1" x14ac:dyDescent="0.25"/>
    <row r="6697" ht="18" customHeight="1" x14ac:dyDescent="0.25"/>
    <row r="6698" ht="18" customHeight="1" x14ac:dyDescent="0.25"/>
    <row r="6699" ht="18" customHeight="1" x14ac:dyDescent="0.25"/>
    <row r="6700" ht="18" customHeight="1" x14ac:dyDescent="0.25"/>
    <row r="6701" ht="18" customHeight="1" x14ac:dyDescent="0.25"/>
    <row r="6702" ht="18" customHeight="1" x14ac:dyDescent="0.25"/>
    <row r="6703" ht="18" customHeight="1" x14ac:dyDescent="0.25"/>
    <row r="6704" ht="18" customHeight="1" x14ac:dyDescent="0.25"/>
    <row r="6705" ht="18" customHeight="1" x14ac:dyDescent="0.25"/>
    <row r="6706" ht="18" customHeight="1" x14ac:dyDescent="0.25"/>
    <row r="6707" ht="18" customHeight="1" x14ac:dyDescent="0.25"/>
    <row r="6708" ht="18" customHeight="1" x14ac:dyDescent="0.25"/>
    <row r="6709" ht="18" customHeight="1" x14ac:dyDescent="0.25"/>
    <row r="6710" ht="18" customHeight="1" x14ac:dyDescent="0.25"/>
    <row r="6711" ht="18" customHeight="1" x14ac:dyDescent="0.25"/>
    <row r="6712" ht="18" customHeight="1" x14ac:dyDescent="0.25"/>
    <row r="6713" ht="18" customHeight="1" x14ac:dyDescent="0.25"/>
    <row r="6714" ht="18" customHeight="1" x14ac:dyDescent="0.25"/>
    <row r="6715" ht="18" customHeight="1" x14ac:dyDescent="0.25"/>
    <row r="6716" ht="18" customHeight="1" x14ac:dyDescent="0.25"/>
    <row r="6717" ht="18" customHeight="1" x14ac:dyDescent="0.25"/>
    <row r="6718" ht="18" customHeight="1" x14ac:dyDescent="0.25"/>
    <row r="6719" ht="18" customHeight="1" x14ac:dyDescent="0.25"/>
    <row r="6720" ht="18" customHeight="1" x14ac:dyDescent="0.25"/>
    <row r="6721" ht="18" customHeight="1" x14ac:dyDescent="0.25"/>
    <row r="6722" ht="18" customHeight="1" x14ac:dyDescent="0.25"/>
    <row r="6723" ht="18" customHeight="1" x14ac:dyDescent="0.25"/>
    <row r="6724" ht="18" customHeight="1" x14ac:dyDescent="0.25"/>
    <row r="6725" ht="18" customHeight="1" x14ac:dyDescent="0.25"/>
    <row r="6726" ht="18" customHeight="1" x14ac:dyDescent="0.25"/>
    <row r="6727" ht="18" customHeight="1" x14ac:dyDescent="0.25"/>
    <row r="6728" ht="18" customHeight="1" x14ac:dyDescent="0.25"/>
    <row r="6729" ht="18" customHeight="1" x14ac:dyDescent="0.25"/>
    <row r="6730" ht="18" customHeight="1" x14ac:dyDescent="0.25"/>
    <row r="6731" ht="18" customHeight="1" x14ac:dyDescent="0.25"/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README</vt:lpstr>
      <vt:lpstr>Analise_Erro</vt:lpstr>
      <vt:lpstr>Configuracao</vt:lpstr>
      <vt:lpstr>Tags_por_Altura</vt:lpstr>
      <vt:lpstr>Alcance_Altura_Dist</vt:lpstr>
      <vt:lpstr>Orientacao</vt:lpstr>
      <vt:lpstr>Material</vt:lpstr>
      <vt:lpstr>Inventario_Sala</vt:lpstr>
      <vt:lpstr>Passagem</vt:lpstr>
      <vt:lpstr>Dados_Brutos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17533</cp:lastModifiedBy>
  <dcterms:modified xsi:type="dcterms:W3CDTF">2026-07-12T23:58:02Z</dcterms:modified>
</cp:coreProperties>
</file>