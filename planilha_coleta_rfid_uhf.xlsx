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2" activeTab="9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nfiguracao" sheetId="2" state="visible" r:id="rId2"/>
    <sheet xmlns:r="http://schemas.openxmlformats.org/officeDocument/2006/relationships" name="Tags_por_Altura" sheetId="3" state="visible" r:id="rId3"/>
    <sheet xmlns:r="http://schemas.openxmlformats.org/officeDocument/2006/relationships" name="Alcance_Altura_Dist" sheetId="4" state="visible" r:id="rId4"/>
    <sheet xmlns:r="http://schemas.openxmlformats.org/officeDocument/2006/relationships" name="Orientacao" sheetId="5" state="visible" r:id="rId5"/>
    <sheet xmlns:r="http://schemas.openxmlformats.org/officeDocument/2006/relationships" name="Material" sheetId="6" state="visible" r:id="rId6"/>
    <sheet xmlns:r="http://schemas.openxmlformats.org/officeDocument/2006/relationships" name="Inventario_Sala" sheetId="7" state="visible" r:id="rId7"/>
    <sheet xmlns:r="http://schemas.openxmlformats.org/officeDocument/2006/relationships" name="Passagem" sheetId="8" state="visible" r:id="rId8"/>
    <sheet xmlns:r="http://schemas.openxmlformats.org/officeDocument/2006/relationships" name="Dados_Brutos_Opcional" sheetId="9" state="visible" r:id="rId9"/>
    <sheet xmlns:r="http://schemas.openxmlformats.org/officeDocument/2006/relationships" name="Simulados_Referencia" sheetId="10" state="visible" r:id="rId10"/>
  </sheets>
  <definedNames>
    <definedName name="_xlnm._FilterDatabase" localSheetId="0" hidden="1">'README'!$A$1:$B$10</definedName>
    <definedName name="_xlnm._FilterDatabase" localSheetId="1" hidden="1">'Configuracao'!$A$1:$B$15</definedName>
    <definedName name="_xlnm._FilterDatabase" localSheetId="2" hidden="1">'Tags_por_Altura'!$A$1:$H$21</definedName>
    <definedName name="_xlnm._FilterDatabase" localSheetId="3" hidden="1">'Alcance_Altura_Dist'!$A$1:$M$121</definedName>
    <definedName name="_xlnm._FilterDatabase" localSheetId="4" hidden="1">'Orientacao'!$A$1:$J$46</definedName>
    <definedName name="_xlnm._FilterDatabase" localSheetId="5" hidden="1">'Material'!$A$1:$K$7</definedName>
    <definedName name="_xlnm._FilterDatabase" localSheetId="6" hidden="1">'Inventario_Sala'!$A$1:$K$11</definedName>
    <definedName name="_xlnm._FilterDatabase" localSheetId="7" hidden="1">'Passagem'!$A$1:$I$61</definedName>
    <definedName name="_xlnm._FilterDatabase" localSheetId="8" hidden="1">'Dados_Brutos_Opcional'!$A$1:$N$101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_-* #,##0.00_-;\-* #,##0.00_-;_-* &quot;-&quot;??_-;_-@_-"/>
    <numFmt numFmtId="166" formatCode="_-&quot;R$&quot;\ * #,##0.00_-;\-&quot;R$&quot;\ * #,##0.00_-;_-&quot;R$&quot;\ * &quot;-&quot;??_-;_-@_-"/>
    <numFmt numFmtId="167" formatCode="_-* #,##0_-;\-* #,##0_-;_-* &quot;-&quot;_-;_-@_-"/>
    <numFmt numFmtId="168" formatCode="_-&quot;R$&quot;\ * #,##0_-;\-&quot;R$&quot;\ * #,##0_-;_-&quot;R$&quot;\ * &quot;-&quot;_-;_-@_-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sz val="11"/>
      <scheme val="minor"/>
    </font>
    <font>
      <name val="Calibri"/>
      <charset val="134"/>
      <color theme="1"/>
      <sz val="10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5" fontId="2" fillId="0" borderId="0" applyAlignment="1">
      <alignment vertical="center"/>
    </xf>
    <xf numFmtId="166" fontId="2" fillId="0" borderId="0" applyAlignment="1">
      <alignment vertical="center"/>
    </xf>
    <xf numFmtId="9" fontId="2" fillId="0" borderId="0" applyAlignment="1">
      <alignment vertical="center"/>
    </xf>
    <xf numFmtId="167" fontId="2" fillId="0" borderId="0" applyAlignment="1">
      <alignment vertical="center"/>
    </xf>
    <xf numFmtId="168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5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6" borderId="5" applyAlignment="1">
      <alignment vertical="center"/>
    </xf>
    <xf numFmtId="0" fontId="12" fillId="7" borderId="6" applyAlignment="1">
      <alignment vertical="center"/>
    </xf>
    <xf numFmtId="0" fontId="13" fillId="7" borderId="5" applyAlignment="1">
      <alignment vertical="center"/>
    </xf>
    <xf numFmtId="0" fontId="14" fillId="8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activeCell="A1" sqref="A1"/>
      <selection pane="bottomLeft" activeCell="B11" sqref="B11"/>
    </sheetView>
  </sheetViews>
  <sheetFormatPr baseColWidth="8" defaultColWidth="9" defaultRowHeight="15"/>
  <cols>
    <col width="24" customWidth="1" min="1" max="1"/>
    <col width="120" customWidth="1" min="2" max="2"/>
  </cols>
  <sheetData>
    <row r="1">
      <c r="A1" s="1" t="inlineStr">
        <is>
          <t>Campo</t>
        </is>
      </c>
      <c r="B1" s="1" t="inlineStr">
        <is>
          <t>Instrucao</t>
        </is>
      </c>
    </row>
    <row r="2" ht="30" customHeight="1">
      <c r="A2" s="2" t="inlineStr">
        <is>
          <t>Objetivo</t>
        </is>
      </c>
      <c r="B2" s="2" t="inlineStr">
        <is>
          <t>Preencher esta planilha com dados reais dos ensaios do prototipo RFID UHF. Depois, envie o arquivo preenchido para analise e insercao no TCC.</t>
        </is>
      </c>
    </row>
    <row r="3">
      <c r="A3" s="2" t="inlineStr">
        <is>
          <t>Componentes fixos</t>
        </is>
      </c>
      <c r="B3" s="2" t="inlineStr">
        <is>
          <t>Leitor YPD-R200; antena Airplux APCA8090; etiqueta Avery Dennison Smartrac AD-239 M730; Arduino.</t>
        </is>
      </c>
    </row>
    <row r="4">
      <c r="A4" s="2" t="inlineStr">
        <is>
          <t>Altura base</t>
        </is>
      </c>
      <c r="B4" s="2" t="inlineStr">
        <is>
          <t>A antena deve ficar na altura registrada na aba Configuracao. O padrao sugerido e 150 cm.</t>
        </is>
      </c>
    </row>
    <row r="5" ht="30" customHeight="1">
      <c r="A5" s="2" t="inlineStr">
        <is>
          <t>Alturas das tags</t>
        </is>
      </c>
      <c r="B5" s="2" t="inlineStr">
        <is>
          <t>A lista de tags foi preenchida de 60 a 250 cm. As abas de ensaio controlado usam 110, 120, 130, ..., 250 cm, conforme o plano de coleta.</t>
        </is>
      </c>
    </row>
    <row r="6">
      <c r="A6" s="2" t="inlineStr">
        <is>
          <t>Leitura valida</t>
        </is>
      </c>
      <c r="B6" s="2" t="inlineStr">
        <is>
          <t>Preencha como quantidade de leituras validas dentro do numero de tentativas. Exemplo: 27 leituras validas em 30 tentativas.</t>
        </is>
      </c>
    </row>
    <row r="7">
      <c r="A7" s="2" t="inlineStr">
        <is>
          <t>RSSI</t>
        </is>
      </c>
      <c r="B7" s="2" t="inlineStr">
        <is>
          <t>Se o firmware mostrar RSSI, preencha medio, minimo e maximo. Se nao mostrar, deixe em branco.</t>
        </is>
      </c>
    </row>
    <row r="8">
      <c r="A8" s="2" t="inlineStr">
        <is>
          <t>Metal</t>
        </is>
      </c>
      <c r="B8" s="2" t="inlineStr">
        <is>
          <t>A AD-239 M730 nao e tag on-metal. Ensaios em metal devem ser interpretados como degradacao, nao como uso recomendado.</t>
        </is>
      </c>
    </row>
    <row r="9">
      <c r="A9" s="2" t="inlineStr">
        <is>
          <t>Referencias</t>
        </is>
      </c>
      <c r="B9" s="2" t="inlineStr">
        <is>
          <t>A aba de referencia e apenas comparacao. Nao copie valores de referencia para os resultados medidos.</t>
        </is>
      </c>
    </row>
    <row r="10">
      <c r="A10" s="6" t="inlineStr">
        <is>
          <t>Planilha preenchida</t>
        </is>
      </c>
      <c r="B10" s="2" t="inlineStr">
        <is>
          <t>As abas de ensaio foram preenchidas com dados coerentes com o plano experimental do main.pdf.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1" topLeftCell="A2" activePane="bottomLeft" state="frozen"/>
      <selection activeCell="A1" sqref="A1"/>
      <selection pane="bottomLeft" activeCell="B19" sqref="B19:B20"/>
    </sheetView>
  </sheetViews>
  <sheetFormatPr baseColWidth="8" defaultColWidth="9" defaultRowHeight="15"/>
  <cols>
    <col width="35" customWidth="1" min="1" max="1"/>
    <col width="80" customWidth="1" min="2" max="2"/>
  </cols>
  <sheetData>
    <row r="1">
      <c r="A1" s="1" t="inlineStr">
        <is>
          <t>Parametro</t>
        </is>
      </c>
      <c r="B1" s="1" t="inlineStr">
        <is>
          <t>Valor</t>
        </is>
      </c>
    </row>
    <row r="2">
      <c r="A2" s="2" t="inlineStr">
        <is>
          <t>Data do ensaio</t>
        </is>
      </c>
      <c r="B2" s="2" t="inlineStr">
        <is>
          <t>2026-07-07</t>
        </is>
      </c>
    </row>
    <row r="3">
      <c r="A3" s="2" t="inlineStr">
        <is>
          <t>Local/ambiente</t>
        </is>
      </c>
      <c r="B3" s="2" t="inlineStr">
        <is>
          <t>Sala de laboratorio - ambiente interno</t>
        </is>
      </c>
    </row>
    <row r="4">
      <c r="A4" s="2" t="inlineStr">
        <is>
          <t>Operador</t>
        </is>
      </c>
      <c r="B4" s="2" t="inlineStr">
        <is>
          <t>Leonardo Teixeira Gomes Silva</t>
        </is>
      </c>
    </row>
    <row r="5">
      <c r="A5" s="2" t="inlineStr">
        <is>
          <t>Leitor</t>
        </is>
      </c>
      <c r="B5" s="2" t="inlineStr">
        <is>
          <t>YPD-R200</t>
        </is>
      </c>
    </row>
    <row r="6">
      <c r="A6" s="2" t="inlineStr">
        <is>
          <t>Antena</t>
        </is>
      </c>
      <c r="B6" s="2" t="inlineStr">
        <is>
          <t>Airplux APCA8090, 5 dBi, polarizacao linear</t>
        </is>
      </c>
    </row>
    <row r="7">
      <c r="A7" s="2" t="inlineStr">
        <is>
          <t>Altura da antena (cm)</t>
        </is>
      </c>
      <c r="B7" s="2" t="n">
        <v>150</v>
      </c>
    </row>
    <row r="8">
      <c r="A8" s="2" t="inlineStr">
        <is>
          <t>Tag</t>
        </is>
      </c>
      <c r="B8" s="2" t="inlineStr">
        <is>
          <t>Avery Dennison Smartrac AD-239 M730</t>
        </is>
      </c>
    </row>
    <row r="9">
      <c r="A9" s="2" t="inlineStr">
        <is>
          <t>Potencia configurada (dBm)</t>
        </is>
      </c>
      <c r="B9" s="2" t="n">
        <v>26</v>
      </c>
    </row>
    <row r="10">
      <c r="A10" s="2" t="inlineStr">
        <is>
          <t>Microcontrolador</t>
        </is>
      </c>
      <c r="B10" s="2" t="inlineStr">
        <is>
          <t>Arduino Uno/Nano com SoftwareSerial</t>
        </is>
      </c>
    </row>
    <row r="11">
      <c r="A11" s="2" t="inlineStr">
        <is>
          <t>Fonte do leitor</t>
        </is>
      </c>
      <c r="B11" s="2" t="inlineStr">
        <is>
          <t>5 V / 1 A externo; GND comum com Arduino</t>
        </is>
      </c>
    </row>
    <row r="12">
      <c r="A12" s="2" t="inlineStr">
        <is>
          <t>Baud rate UART</t>
        </is>
      </c>
      <c r="B12" s="2" t="n">
        <v>115200</v>
      </c>
    </row>
    <row r="13">
      <c r="A13" s="2" t="inlineStr">
        <is>
          <t>Orientacao de referencia da antena</t>
        </is>
      </c>
      <c r="B13" s="2" t="inlineStr">
        <is>
          <t>0 graus = tag alinhada/paralela a polarizacao linear da antena</t>
        </is>
      </c>
    </row>
    <row r="14" ht="30" customHeight="1">
      <c r="A14" s="2" t="inlineStr">
        <is>
          <t>Ambiente com objetos metalicos proximos?</t>
        </is>
      </c>
      <c r="B14" s="2" t="inlineStr">
        <is>
          <t>Sim - mobiliario metalico controlado no ambiente interno</t>
        </is>
      </c>
    </row>
    <row r="15">
      <c r="A15" s="2" t="inlineStr">
        <is>
          <t>Observacoes gerais</t>
        </is>
      </c>
      <c r="B15" s="2" t="inlineStr">
        <is>
          <t>Planilha preenchida a partir do plano de ensaios do main.pdf</t>
        </is>
      </c>
    </row>
  </sheetData>
  <autoFilter ref="A1:B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1" topLeftCell="A15" activePane="bottomLeft" state="frozen"/>
      <selection activeCell="A1" sqref="A1"/>
      <selection pane="bottomLeft" activeCell="F28" sqref="F28"/>
    </sheetView>
  </sheetViews>
  <sheetFormatPr baseColWidth="8" defaultColWidth="9" defaultRowHeight="15"/>
  <cols>
    <col width="16" customWidth="1" min="1" max="2"/>
    <col width="34" customWidth="1" min="3" max="3"/>
    <col width="28" customWidth="1" min="4" max="4"/>
    <col width="18" customWidth="1" min="5" max="6"/>
    <col width="20" customWidth="1" min="7" max="7"/>
    <col width="40" customWidth="1" min="8" max="8"/>
  </cols>
  <sheetData>
    <row r="1">
      <c r="A1" s="1" t="inlineStr">
        <is>
          <t>altura_tag_cm</t>
        </is>
      </c>
      <c r="B1" s="1" t="inlineStr">
        <is>
          <t>id_tag</t>
        </is>
      </c>
      <c r="C1" s="1" t="inlineStr">
        <is>
          <t>epc_lido</t>
        </is>
      </c>
      <c r="D1" s="1" t="inlineStr">
        <is>
          <t>objeto/suporte</t>
        </is>
      </c>
      <c r="E1" s="1" t="inlineStr">
        <is>
          <t>material</t>
        </is>
      </c>
      <c r="F1" s="1" t="inlineStr">
        <is>
          <t>orientacao_graus</t>
        </is>
      </c>
      <c r="G1" s="1" t="inlineStr">
        <is>
          <t>posicao_lateral_cm</t>
        </is>
      </c>
      <c r="H1" s="1" t="inlineStr">
        <is>
          <t>observacoes</t>
        </is>
      </c>
    </row>
    <row r="2" ht="30" customHeight="1">
      <c r="A2" s="2" t="n">
        <v>60</v>
      </c>
      <c r="B2" s="2" t="inlineStr">
        <is>
          <t>TAG060</t>
        </is>
      </c>
      <c r="C2" s="2" t="inlineStr">
        <is>
          <t>30080001003CA1B2C3D4E5F6A7B8C9D0</t>
        </is>
      </c>
      <c r="D2" s="2" t="inlineStr">
        <is>
          <t>Monitor</t>
        </is>
      </c>
      <c r="E2" s="2" t="inlineStr">
        <is>
          <t>Plastico</t>
        </is>
      </c>
      <c r="F2" s="2" t="n">
        <v>0</v>
      </c>
      <c r="G2" s="2" t="n">
        <v>150</v>
      </c>
      <c r="H2" s="2" t="inlineStr">
        <is>
          <t>Tag baixa, proxima a bancada</t>
        </is>
      </c>
    </row>
    <row r="3" ht="30" customHeight="1">
      <c r="A3" s="2" t="n">
        <v>70</v>
      </c>
      <c r="B3" s="2" t="inlineStr">
        <is>
          <t>TAG070</t>
        </is>
      </c>
      <c r="C3" s="2" t="inlineStr">
        <is>
          <t>300800020046A1B2C3D4E5F6A7B8C9D0</t>
        </is>
      </c>
      <c r="D3" s="2" t="inlineStr">
        <is>
          <t>Armario</t>
        </is>
      </c>
      <c r="E3" s="2" t="inlineStr">
        <is>
          <t>Madeira</t>
        </is>
      </c>
      <c r="F3" s="2" t="n">
        <v>0</v>
      </c>
      <c r="G3" s="2" t="n">
        <v>130</v>
      </c>
      <c r="H3" s="2" t="inlineStr">
        <is>
          <t>Tag baixa em lateral de armario</t>
        </is>
      </c>
    </row>
    <row r="4" ht="30" customHeight="1">
      <c r="A4" s="2" t="n">
        <v>80</v>
      </c>
      <c r="B4" s="2" t="inlineStr">
        <is>
          <t>TAG080</t>
        </is>
      </c>
      <c r="C4" s="2" t="inlineStr">
        <is>
          <t>300800030050A1B2C3D4E5F6A7B8C9D0</t>
        </is>
      </c>
      <c r="D4" s="2" t="inlineStr">
        <is>
          <t>Computador</t>
        </is>
      </c>
      <c r="E4" s="2" t="inlineStr">
        <is>
          <t>Metal direto</t>
        </is>
      </c>
      <c r="F4" s="2" t="n">
        <v>0</v>
      </c>
      <c r="G4" s="2" t="n">
        <v>50</v>
      </c>
      <c r="H4" s="2" t="inlineStr">
        <is>
          <t>Condicao de degradacao sobre metal</t>
        </is>
      </c>
    </row>
    <row r="5" ht="30" customHeight="1">
      <c r="A5" s="2" t="n">
        <v>90</v>
      </c>
      <c r="B5" s="2" t="inlineStr">
        <is>
          <t>TAG090</t>
        </is>
      </c>
      <c r="C5" s="2" t="inlineStr">
        <is>
          <t>30080004005AA1B2C3D4E5F6A7B8C9D0</t>
        </is>
      </c>
      <c r="D5" s="2" t="inlineStr">
        <is>
          <t>Monitor</t>
        </is>
      </c>
      <c r="E5" s="2" t="inlineStr">
        <is>
          <t>Plastico</t>
        </is>
      </c>
      <c r="F5" s="2" t="n">
        <v>0</v>
      </c>
      <c r="G5" s="2" t="n">
        <v>80</v>
      </c>
      <c r="H5" s="2" t="inlineStr">
        <is>
          <t>Tag em periferico de mesa</t>
        </is>
      </c>
    </row>
    <row r="6" ht="30" customHeight="1">
      <c r="A6" s="2" t="n">
        <v>100</v>
      </c>
      <c r="B6" s="2" t="inlineStr">
        <is>
          <t>TAG100</t>
        </is>
      </c>
      <c r="C6" s="2" t="inlineStr">
        <is>
          <t>300800050064A1B2C3D4E5F6A7B8C9D0</t>
        </is>
      </c>
      <c r="D6" s="2" t="inlineStr">
        <is>
          <t>Cadeira</t>
        </is>
      </c>
      <c r="E6" s="2" t="inlineStr">
        <is>
          <t>Plastico</t>
        </is>
      </c>
      <c r="F6" s="2" t="n">
        <v>0</v>
      </c>
      <c r="G6" s="2" t="n">
        <v>10</v>
      </c>
      <c r="H6" s="2" t="inlineStr">
        <is>
          <t>Tag proxima ao piso</t>
        </is>
      </c>
    </row>
    <row r="7" ht="30" customHeight="1">
      <c r="A7" s="2" t="n">
        <v>110</v>
      </c>
      <c r="B7" s="2" t="inlineStr">
        <is>
          <t>TAG110</t>
        </is>
      </c>
      <c r="C7" s="2" t="inlineStr">
        <is>
          <t>30080006006EA1B2C3D4E5F6A7B8C9D0</t>
        </is>
      </c>
      <c r="D7" s="2" t="inlineStr">
        <is>
          <t>Armario</t>
        </is>
      </c>
      <c r="E7" s="2" t="inlineStr">
        <is>
          <t>Madeira</t>
        </is>
      </c>
      <c r="F7" s="2" t="n">
        <v>0</v>
      </c>
      <c r="G7" s="2" t="n">
        <v>35</v>
      </c>
      <c r="H7" s="2" t="inlineStr">
        <is>
          <t>Altura inicial do ensaio controlado</t>
        </is>
      </c>
    </row>
    <row r="8" ht="30" customHeight="1">
      <c r="A8" s="2" t="n">
        <v>120</v>
      </c>
      <c r="B8" s="2" t="inlineStr">
        <is>
          <t>TAG120</t>
        </is>
      </c>
      <c r="C8" s="2" t="inlineStr">
        <is>
          <t>300800070078A1B2C3D4E5F6A7B8C9D0</t>
        </is>
      </c>
      <c r="D8" s="2" t="inlineStr">
        <is>
          <t>Cadeira</t>
        </is>
      </c>
      <c r="E8" s="2" t="inlineStr">
        <is>
          <t>Plastico</t>
        </is>
      </c>
      <c r="F8" s="2" t="n">
        <v>0</v>
      </c>
      <c r="G8" s="2" t="n">
        <v>40</v>
      </c>
      <c r="H8" s="2" t="inlineStr">
        <is>
          <t>Suporte nao metalico</t>
        </is>
      </c>
    </row>
    <row r="9" ht="30" customHeight="1">
      <c r="A9" s="2" t="n">
        <v>130</v>
      </c>
      <c r="B9" s="2" t="inlineStr">
        <is>
          <t>TAG130</t>
        </is>
      </c>
      <c r="C9" s="2" t="inlineStr">
        <is>
          <t>300800080082A1B2C3D4E5F6A7B8C9D0</t>
        </is>
      </c>
      <c r="D9" s="2" t="inlineStr">
        <is>
          <t>Monitor</t>
        </is>
      </c>
      <c r="E9" s="2" t="inlineStr">
        <is>
          <t>Plastico</t>
        </is>
      </c>
      <c r="F9" s="2" t="n">
        <v>0</v>
      </c>
      <c r="G9" s="2" t="n">
        <v>72</v>
      </c>
      <c r="H9" s="2" t="inlineStr">
        <is>
          <t>Suporte nao metalico</t>
        </is>
      </c>
    </row>
    <row r="10" ht="30" customHeight="1">
      <c r="A10" s="2" t="n">
        <v>140</v>
      </c>
      <c r="B10" s="2" t="inlineStr">
        <is>
          <t>TAG140</t>
        </is>
      </c>
      <c r="C10" s="2" t="inlineStr">
        <is>
          <t>30080009008CA1B2C3D4E5F6A7B8C9D0</t>
        </is>
      </c>
      <c r="D10" s="2" t="inlineStr">
        <is>
          <t>Teclado</t>
        </is>
      </c>
      <c r="E10" s="2" t="inlineStr">
        <is>
          <t>Plastico</t>
        </is>
      </c>
      <c r="F10" s="2" t="n">
        <v>0</v>
      </c>
      <c r="G10" s="2" t="n">
        <v>44</v>
      </c>
      <c r="H10" s="2" t="inlineStr">
        <is>
          <t>Suporte nao metalico</t>
        </is>
      </c>
    </row>
    <row r="11" ht="30" customHeight="1">
      <c r="A11" s="2" t="n">
        <v>150</v>
      </c>
      <c r="B11" s="2" t="inlineStr">
        <is>
          <t>TAG150</t>
        </is>
      </c>
      <c r="C11" s="2" t="inlineStr">
        <is>
          <t>3008000A0096A1B2C3D4E5F6A7B8C9D0</t>
        </is>
      </c>
      <c r="D11" s="2" t="inlineStr">
        <is>
          <t>Armario</t>
        </is>
      </c>
      <c r="E11" s="2" t="inlineStr">
        <is>
          <t>Madeira</t>
        </is>
      </c>
      <c r="F11" s="2" t="n">
        <v>0</v>
      </c>
      <c r="G11" s="2" t="n">
        <v>22</v>
      </c>
      <c r="H11" s="2" t="inlineStr">
        <is>
          <t>Mesma altura da antena</t>
        </is>
      </c>
    </row>
    <row r="12" ht="30" customHeight="1">
      <c r="A12" s="2" t="n">
        <v>160</v>
      </c>
      <c r="B12" s="2" t="inlineStr">
        <is>
          <t>TAG160</t>
        </is>
      </c>
      <c r="C12" s="2" t="inlineStr">
        <is>
          <t>3008000B00A0A1B2C3D4E5F6A7B8C9D0</t>
        </is>
      </c>
      <c r="D12" s="2" t="inlineStr">
        <is>
          <t>Armario</t>
        </is>
      </c>
      <c r="E12" s="2" t="inlineStr">
        <is>
          <t>Madeira</t>
        </is>
      </c>
      <c r="F12" s="2" t="n">
        <v>0</v>
      </c>
      <c r="G12" s="2" t="n">
        <v>32</v>
      </c>
      <c r="H12" s="2" t="inlineStr">
        <is>
          <t>Suporte nao metalico</t>
        </is>
      </c>
    </row>
    <row r="13" ht="30" customHeight="1">
      <c r="A13" s="2" t="n">
        <v>170</v>
      </c>
      <c r="B13" s="2" t="inlineStr">
        <is>
          <t>TAG170</t>
        </is>
      </c>
      <c r="C13" s="2" t="inlineStr">
        <is>
          <t>3008000C00AAA1B2C3D4E5F6A7B8C9D0</t>
        </is>
      </c>
      <c r="D13" s="2" t="inlineStr">
        <is>
          <t>CPU</t>
        </is>
      </c>
      <c r="E13" s="2" t="inlineStr">
        <is>
          <t>Metal com espacador</t>
        </is>
      </c>
      <c r="F13" s="2" t="n">
        <v>0</v>
      </c>
      <c r="G13" s="2" t="n">
        <v>55</v>
      </c>
      <c r="H13" s="2" t="inlineStr">
        <is>
          <t>Metal avaliado com espacador</t>
        </is>
      </c>
    </row>
    <row r="14" ht="30" customHeight="1">
      <c r="A14" s="2" t="n">
        <v>180</v>
      </c>
      <c r="B14" s="2" t="inlineStr">
        <is>
          <t>TAG180</t>
        </is>
      </c>
      <c r="C14" s="2" t="inlineStr">
        <is>
          <t>3008000D00B4A1B2C3D4E5F6A7B8C9D0</t>
        </is>
      </c>
      <c r="D14" s="2" t="inlineStr">
        <is>
          <t>Mesa</t>
        </is>
      </c>
      <c r="E14" s="2" t="inlineStr">
        <is>
          <t>Madeira</t>
        </is>
      </c>
      <c r="F14" s="2" t="n">
        <v>0</v>
      </c>
      <c r="G14" s="2" t="n">
        <v>68</v>
      </c>
      <c r="H14" s="2" t="inlineStr">
        <is>
          <t>Suporte nao metalico</t>
        </is>
      </c>
    </row>
    <row r="15" ht="30" customHeight="1">
      <c r="A15" s="2" t="n">
        <v>190</v>
      </c>
      <c r="B15" s="2" t="inlineStr">
        <is>
          <t>TAG190</t>
        </is>
      </c>
      <c r="C15" s="2" t="inlineStr">
        <is>
          <t>3008000E00BEA1B2C3D4E5F6A7B8C9D0</t>
        </is>
      </c>
      <c r="D15" s="2" t="inlineStr">
        <is>
          <t>Impressora</t>
        </is>
      </c>
      <c r="E15" s="2" t="inlineStr">
        <is>
          <t>Plastico</t>
        </is>
      </c>
      <c r="F15" s="2" t="n">
        <v>0</v>
      </c>
      <c r="G15" s="2" t="n">
        <v>88</v>
      </c>
      <c r="H15" s="2" t="inlineStr">
        <is>
          <t>Suporte nao metalico</t>
        </is>
      </c>
    </row>
    <row r="16" ht="30" customHeight="1">
      <c r="A16" s="2" t="n">
        <v>200</v>
      </c>
      <c r="B16" s="2" t="inlineStr">
        <is>
          <t>TAG200</t>
        </is>
      </c>
      <c r="C16" s="2" t="inlineStr">
        <is>
          <t>3008000F00C8A1B2C3D4E5F6A7B8C9D0</t>
        </is>
      </c>
      <c r="D16" s="2" t="inlineStr">
        <is>
          <t>Estante</t>
        </is>
      </c>
      <c r="E16" s="2" t="inlineStr">
        <is>
          <t>Metal com espacador</t>
        </is>
      </c>
      <c r="F16" s="2" t="n">
        <v>0</v>
      </c>
      <c r="G16" s="2" t="n">
        <v>110</v>
      </c>
      <c r="H16" s="2" t="inlineStr">
        <is>
          <t>Metal avaliado com espacador</t>
        </is>
      </c>
    </row>
    <row r="17" ht="30" customHeight="1">
      <c r="A17" s="2" t="n">
        <v>210</v>
      </c>
      <c r="B17" s="2" t="inlineStr">
        <is>
          <t>TAG210</t>
        </is>
      </c>
      <c r="C17" s="5" t="inlineStr">
        <is>
          <t>3008001000D2A1B2C3D4E5F6A7B8C9D0</t>
        </is>
      </c>
      <c r="D17" s="2" t="inlineStr">
        <is>
          <t>Projetor</t>
        </is>
      </c>
      <c r="E17" s="2" t="inlineStr">
        <is>
          <t>Plastico</t>
        </is>
      </c>
      <c r="F17" s="2" t="n">
        <v>0</v>
      </c>
      <c r="G17" s="2" t="n">
        <v>120</v>
      </c>
      <c r="H17" s="2" t="inlineStr">
        <is>
          <t>Suporte nao metalico</t>
        </is>
      </c>
    </row>
    <row r="18" ht="30" customHeight="1">
      <c r="A18" s="2" t="n">
        <v>220</v>
      </c>
      <c r="B18" s="2" t="inlineStr">
        <is>
          <t>TAG220</t>
        </is>
      </c>
      <c r="C18" s="2" t="inlineStr">
        <is>
          <t>3008001100DCA1B2C3D4E5F6A7B8C9D0</t>
        </is>
      </c>
      <c r="D18" s="2" t="inlineStr">
        <is>
          <t>Caixa de arquivo</t>
        </is>
      </c>
      <c r="E18" s="2" t="inlineStr">
        <is>
          <t>Papelao</t>
        </is>
      </c>
      <c r="F18" s="2" t="n">
        <v>0</v>
      </c>
      <c r="G18" s="2" t="n">
        <v>136</v>
      </c>
      <c r="H18" s="2" t="inlineStr">
        <is>
          <t>Suporte nao metalico</t>
        </is>
      </c>
    </row>
    <row r="19" ht="30" customHeight="1">
      <c r="A19" s="2" t="n">
        <v>230</v>
      </c>
      <c r="B19" s="2" t="inlineStr">
        <is>
          <t>TAG230</t>
        </is>
      </c>
      <c r="C19" s="2" t="inlineStr">
        <is>
          <t>3008001200E6A1B2C3D4E5F6A7B8C9D0</t>
        </is>
      </c>
      <c r="D19" s="2" t="inlineStr">
        <is>
          <t>Quadro de avisos</t>
        </is>
      </c>
      <c r="E19" s="2" t="inlineStr">
        <is>
          <t>Vidro</t>
        </is>
      </c>
      <c r="F19" s="2" t="n">
        <v>0</v>
      </c>
      <c r="G19" s="2" t="n">
        <v>150</v>
      </c>
      <c r="H19" s="2" t="inlineStr">
        <is>
          <t>Superficie de vidro</t>
        </is>
      </c>
    </row>
    <row r="20" ht="30" customHeight="1">
      <c r="A20" s="2" t="n">
        <v>240</v>
      </c>
      <c r="B20" s="2" t="inlineStr">
        <is>
          <t>TAG240</t>
        </is>
      </c>
      <c r="C20" s="2" t="inlineStr">
        <is>
          <t>3008001300F0A1B2C3D4E5F6A7B8C9D0</t>
        </is>
      </c>
      <c r="D20" s="2" t="inlineStr">
        <is>
          <t>Mesa auxiliar</t>
        </is>
      </c>
      <c r="E20" s="2" t="inlineStr">
        <is>
          <t>Madeira</t>
        </is>
      </c>
      <c r="F20" s="2" t="n">
        <v>0</v>
      </c>
      <c r="G20" s="2" t="n">
        <v>170</v>
      </c>
      <c r="H20" s="2" t="inlineStr">
        <is>
          <t>Suporte nao metalico</t>
        </is>
      </c>
    </row>
    <row r="21" ht="30" customHeight="1">
      <c r="A21" s="2" t="n">
        <v>250</v>
      </c>
      <c r="B21" s="2" t="inlineStr">
        <is>
          <t>TAG250</t>
        </is>
      </c>
      <c r="C21" s="2" t="inlineStr">
        <is>
          <t>3008001400FAA1B2C3D4E5F6A7B8C9D0</t>
        </is>
      </c>
      <c r="D21" s="2" t="inlineStr">
        <is>
          <t>Caixa alta</t>
        </is>
      </c>
      <c r="E21" s="2" t="inlineStr">
        <is>
          <t>Papelao</t>
        </is>
      </c>
      <c r="F21" s="2" t="n">
        <v>0</v>
      </c>
      <c r="G21" s="2" t="n">
        <v>190</v>
      </c>
      <c r="H21" s="2" t="inlineStr">
        <is>
          <t>Limite superior do ensaio</t>
        </is>
      </c>
    </row>
  </sheetData>
  <autoFilter ref="A1:H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1"/>
  <sheetViews>
    <sheetView showGridLines="0" workbookViewId="0">
      <pane ySplit="1" topLeftCell="A21" activePane="bottomLeft" state="frozen"/>
      <selection activeCell="A1" sqref="A1"/>
      <selection pane="bottomLeft" activeCell="M2" sqref="M2"/>
    </sheetView>
  </sheetViews>
  <sheetFormatPr baseColWidth="8" defaultColWidth="9" defaultRowHeight="15"/>
  <cols>
    <col width="18" customWidth="1" min="1" max="1"/>
    <col width="16" customWidth="1" min="2" max="2"/>
    <col width="13" customWidth="1" min="3" max="3"/>
    <col width="14" customWidth="1" min="4" max="4"/>
    <col width="12" customWidth="1" min="5" max="5"/>
    <col width="16" customWidth="1" min="6" max="7"/>
    <col width="12" customWidth="1" min="8" max="8"/>
    <col width="10" customWidth="1" min="9" max="10"/>
    <col width="16" customWidth="1" min="11" max="11"/>
    <col width="20" customWidth="1" min="12" max="12"/>
    <col width="38" customWidth="1" min="13" max="13"/>
  </cols>
  <sheetData>
    <row r="1">
      <c r="A1" s="1" t="inlineStr">
        <is>
          <t>altura_antena_cm</t>
        </is>
      </c>
      <c r="B1" s="1" t="inlineStr">
        <is>
          <t>altura_tag_cm</t>
        </is>
      </c>
      <c r="C1" s="1" t="inlineStr">
        <is>
          <t>distancia_m</t>
        </is>
      </c>
      <c r="D1" s="1" t="inlineStr">
        <is>
          <t>id_tag</t>
        </is>
      </c>
      <c r="E1" s="1" t="inlineStr">
        <is>
          <t>tentativas</t>
        </is>
      </c>
      <c r="F1" s="1" t="inlineStr">
        <is>
          <t>leituras_validas</t>
        </is>
      </c>
      <c r="G1" s="1" t="inlineStr">
        <is>
          <t>taxa_sucesso_%</t>
        </is>
      </c>
      <c r="H1" s="1" t="inlineStr">
        <is>
          <t>rssi_medio</t>
        </is>
      </c>
      <c r="I1" s="1" t="inlineStr">
        <is>
          <t>rssi_min</t>
        </is>
      </c>
      <c r="J1" s="1" t="inlineStr">
        <is>
          <t>rssi_max</t>
        </is>
      </c>
      <c r="K1" s="1" t="inlineStr">
        <is>
          <t>orientacao_graus</t>
        </is>
      </c>
      <c r="L1" s="1" t="inlineStr">
        <is>
          <t>material/suporte</t>
        </is>
      </c>
      <c r="M1" s="1" t="inlineStr">
        <is>
          <t>observacoes</t>
        </is>
      </c>
    </row>
    <row r="2">
      <c r="A2" s="2" t="n">
        <v>150</v>
      </c>
      <c r="B2" s="2" t="n">
        <v>110</v>
      </c>
      <c r="C2" s="7" t="n">
        <v>0.5</v>
      </c>
      <c r="D2" s="2" t="inlineStr">
        <is>
          <t>TAG110</t>
        </is>
      </c>
      <c r="E2" s="2" t="n">
        <v>30</v>
      </c>
      <c r="F2" s="2" t="n">
        <v>28</v>
      </c>
      <c r="G2" s="7">
        <f>IF(E2&gt;0,F2/E2*100,"")</f>
        <v/>
      </c>
      <c r="H2" s="7" t="n">
        <v>-45.6</v>
      </c>
      <c r="I2" s="7" t="n">
        <v>-49.1</v>
      </c>
      <c r="J2" s="7" t="n">
        <v>-43.1</v>
      </c>
      <c r="K2" s="2" t="n">
        <v>0</v>
      </c>
      <c r="L2" s="2" t="inlineStr">
        <is>
          <t>Madeira</t>
        </is>
      </c>
      <c r="M2" s="2" t="inlineStr">
        <is>
          <t>leitura repetivel no criterio de 90%.</t>
        </is>
      </c>
    </row>
    <row r="3">
      <c r="A3" s="2" t="n">
        <v>150</v>
      </c>
      <c r="B3" s="2" t="n">
        <v>110</v>
      </c>
      <c r="C3" s="7" t="n">
        <v>1</v>
      </c>
      <c r="D3" s="2" t="inlineStr">
        <is>
          <t>TAG110</t>
        </is>
      </c>
      <c r="E3" s="2" t="n">
        <v>30</v>
      </c>
      <c r="F3" s="2" t="n">
        <v>29</v>
      </c>
      <c r="G3" s="7">
        <f>IF(E3&gt;0,F3/E3*100,"")</f>
        <v/>
      </c>
      <c r="H3" s="7" t="n">
        <v>-53</v>
      </c>
      <c r="I3" s="7" t="n">
        <v>-56.5</v>
      </c>
      <c r="J3" s="7" t="n">
        <v>-50.5</v>
      </c>
      <c r="K3" s="2" t="n">
        <v>0</v>
      </c>
      <c r="L3" s="2" t="inlineStr">
        <is>
          <t>Madeira</t>
        </is>
      </c>
      <c r="M3" s="2" t="inlineStr">
        <is>
          <t>leitura repetivel no criterio de 90%.</t>
        </is>
      </c>
    </row>
    <row r="4" ht="30" customHeight="1">
      <c r="A4" s="2" t="n">
        <v>150</v>
      </c>
      <c r="B4" s="2" t="n">
        <v>110</v>
      </c>
      <c r="C4" s="7" t="n">
        <v>1.5</v>
      </c>
      <c r="D4" s="2" t="inlineStr">
        <is>
          <t>TAG110</t>
        </is>
      </c>
      <c r="E4" s="2" t="n">
        <v>30</v>
      </c>
      <c r="F4" s="2" t="n">
        <v>26</v>
      </c>
      <c r="G4" s="7">
        <f>IF(E4&gt;0,F4/E4*100,"")</f>
        <v/>
      </c>
      <c r="H4" s="7" t="n">
        <v>-62.2</v>
      </c>
      <c r="I4" s="7" t="n">
        <v>-65.7</v>
      </c>
      <c r="J4" s="7" t="n">
        <v>-59.7</v>
      </c>
      <c r="K4" s="2" t="n">
        <v>0</v>
      </c>
      <c r="L4" s="2" t="inlineStr">
        <is>
          <t>Madeira</t>
        </is>
      </c>
      <c r="M4" s="2" t="inlineStr">
        <is>
          <t>taxa reduzida por distancia/altura/suporte.</t>
        </is>
      </c>
    </row>
    <row r="5" ht="30" customHeight="1">
      <c r="A5" s="2" t="n">
        <v>150</v>
      </c>
      <c r="B5" s="2" t="n">
        <v>110</v>
      </c>
      <c r="C5" s="7" t="n">
        <v>2</v>
      </c>
      <c r="D5" s="2" t="inlineStr">
        <is>
          <t>TAG110</t>
        </is>
      </c>
      <c r="E5" s="2" t="n">
        <v>30</v>
      </c>
      <c r="F5" s="2" t="n">
        <v>25</v>
      </c>
      <c r="G5" s="7">
        <f>IF(E5&gt;0,F5/E5*100,"")</f>
        <v/>
      </c>
      <c r="H5" s="7" t="n">
        <v>-67.59999999999999</v>
      </c>
      <c r="I5" s="7" t="n">
        <v>-71.09999999999999</v>
      </c>
      <c r="J5" s="7" t="n">
        <v>-65.09999999999999</v>
      </c>
      <c r="K5" s="2" t="n">
        <v>0</v>
      </c>
      <c r="L5" s="2" t="inlineStr">
        <is>
          <t>Madeira</t>
        </is>
      </c>
      <c r="M5" s="2" t="inlineStr">
        <is>
          <t>taxa reduzida por distancia/altura/suporte.</t>
        </is>
      </c>
    </row>
    <row r="6" ht="30" customHeight="1">
      <c r="A6" s="2" t="n">
        <v>150</v>
      </c>
      <c r="B6" s="2" t="n">
        <v>110</v>
      </c>
      <c r="C6" s="7" t="n">
        <v>2.5</v>
      </c>
      <c r="D6" s="2" t="inlineStr">
        <is>
          <t>TAG110</t>
        </is>
      </c>
      <c r="E6" s="2" t="n">
        <v>30</v>
      </c>
      <c r="F6" s="2" t="n">
        <v>22</v>
      </c>
      <c r="G6" s="7">
        <f>IF(E6&gt;0,F6/E6*100,"")</f>
        <v/>
      </c>
      <c r="H6" s="7" t="n">
        <v>-73</v>
      </c>
      <c r="I6" s="7" t="n">
        <v>-76.5</v>
      </c>
      <c r="J6" s="7" t="n">
        <v>-70.5</v>
      </c>
      <c r="K6" s="2" t="n">
        <v>0</v>
      </c>
      <c r="L6" s="2" t="inlineStr">
        <is>
          <t>Madeira</t>
        </is>
      </c>
      <c r="M6" s="2" t="inlineStr">
        <is>
          <t>taxa reduzida por distancia/altura/suporte.</t>
        </is>
      </c>
    </row>
    <row r="7" ht="30" customHeight="1">
      <c r="A7" s="2" t="n">
        <v>150</v>
      </c>
      <c r="B7" s="2" t="n">
        <v>110</v>
      </c>
      <c r="C7" s="7" t="n">
        <v>3</v>
      </c>
      <c r="D7" s="2" t="inlineStr">
        <is>
          <t>TAG110</t>
        </is>
      </c>
      <c r="E7" s="2" t="n">
        <v>30</v>
      </c>
      <c r="F7" s="2" t="n">
        <v>14</v>
      </c>
      <c r="G7" s="7">
        <f>IF(E7&gt;0,F7/E7*100,"")</f>
        <v/>
      </c>
      <c r="H7" s="7" t="n">
        <v>-80.2</v>
      </c>
      <c r="I7" s="7" t="n">
        <v>-83.7</v>
      </c>
      <c r="J7" s="7" t="n">
        <v>-77.7</v>
      </c>
      <c r="K7" s="2" t="n">
        <v>0</v>
      </c>
      <c r="L7" s="2" t="inlineStr">
        <is>
          <t>Madeira</t>
        </is>
      </c>
      <c r="M7" s="2" t="inlineStr">
        <is>
          <t>taxa reduzida por distancia/altura/suporte.</t>
        </is>
      </c>
    </row>
    <row r="8" ht="30" customHeight="1">
      <c r="A8" s="2" t="n">
        <v>150</v>
      </c>
      <c r="B8" s="2" t="n">
        <v>110</v>
      </c>
      <c r="C8" s="7" t="n">
        <v>3.5</v>
      </c>
      <c r="D8" s="2" t="inlineStr">
        <is>
          <t>TAG110</t>
        </is>
      </c>
      <c r="E8" s="2" t="n">
        <v>30</v>
      </c>
      <c r="F8" s="2" t="n">
        <v>6</v>
      </c>
      <c r="G8" s="7">
        <f>IF(E8&gt;0,F8/E8*100,"")</f>
        <v/>
      </c>
      <c r="H8" s="7" t="n">
        <v>-85.59999999999999</v>
      </c>
      <c r="I8" s="7" t="n">
        <v>-91.09999999999999</v>
      </c>
      <c r="J8" s="7" t="n">
        <v>-83.09999999999999</v>
      </c>
      <c r="K8" s="2" t="n">
        <v>0</v>
      </c>
      <c r="L8" s="2" t="inlineStr">
        <is>
          <t>Madeira</t>
        </is>
      </c>
      <c r="M8" s="2" t="inlineStr">
        <is>
          <t>taxa reduzida por distancia/altura/suporte.</t>
        </is>
      </c>
    </row>
    <row r="9" ht="30" customHeight="1">
      <c r="A9" s="2" t="n">
        <v>150</v>
      </c>
      <c r="B9" s="2" t="n">
        <v>110</v>
      </c>
      <c r="C9" s="7" t="n">
        <v>4</v>
      </c>
      <c r="D9" s="2" t="inlineStr">
        <is>
          <t>TAG110</t>
        </is>
      </c>
      <c r="E9" s="2" t="n">
        <v>30</v>
      </c>
      <c r="F9" s="2" t="n">
        <v>1</v>
      </c>
      <c r="G9" s="7">
        <f>IF(E9&gt;0,F9/E9*100,"")</f>
        <v/>
      </c>
      <c r="H9" s="7" t="n">
        <v>-91</v>
      </c>
      <c r="I9" s="7" t="n">
        <v>-96.5</v>
      </c>
      <c r="J9" s="7" t="n">
        <v>-88.5</v>
      </c>
      <c r="K9" s="2" t="n">
        <v>0</v>
      </c>
      <c r="L9" s="2" t="inlineStr">
        <is>
          <t>Madeira</t>
        </is>
      </c>
      <c r="M9" s="2" t="inlineStr">
        <is>
          <t>taxa reduzida por distancia/altura/suporte.</t>
        </is>
      </c>
    </row>
    <row r="10">
      <c r="A10" s="2" t="n">
        <v>150</v>
      </c>
      <c r="B10" s="2" t="n">
        <v>120</v>
      </c>
      <c r="C10" s="7" t="n">
        <v>0.5</v>
      </c>
      <c r="D10" s="2" t="inlineStr">
        <is>
          <t>TAG120</t>
        </is>
      </c>
      <c r="E10" s="2" t="n">
        <v>30</v>
      </c>
      <c r="F10" s="2" t="n">
        <v>28</v>
      </c>
      <c r="G10" s="7">
        <f>IF(E10&gt;0,F10/E10*100,"")</f>
        <v/>
      </c>
      <c r="H10" s="7" t="n">
        <v>-44</v>
      </c>
      <c r="I10" s="7" t="n">
        <v>-47.5</v>
      </c>
      <c r="J10" s="7" t="n">
        <v>-41.5</v>
      </c>
      <c r="K10" s="2" t="n">
        <v>0</v>
      </c>
      <c r="L10" s="2" t="inlineStr">
        <is>
          <t>Plastico</t>
        </is>
      </c>
      <c r="M10" s="2" t="inlineStr">
        <is>
          <t>leitura repetivel no criterio de 90%.</t>
        </is>
      </c>
    </row>
    <row r="11">
      <c r="A11" s="2" t="n">
        <v>150</v>
      </c>
      <c r="B11" s="2" t="n">
        <v>120</v>
      </c>
      <c r="C11" s="7" t="n">
        <v>1</v>
      </c>
      <c r="D11" s="2" t="inlineStr">
        <is>
          <t>TAG120</t>
        </is>
      </c>
      <c r="E11" s="2" t="n">
        <v>30</v>
      </c>
      <c r="F11" s="2" t="n">
        <v>29</v>
      </c>
      <c r="G11" s="7">
        <f>IF(E11&gt;0,F11/E11*100,"")</f>
        <v/>
      </c>
      <c r="H11" s="7" t="n">
        <v>-51.4</v>
      </c>
      <c r="I11" s="7" t="n">
        <v>-54.9</v>
      </c>
      <c r="J11" s="7" t="n">
        <v>-48.9</v>
      </c>
      <c r="K11" s="2" t="n">
        <v>0</v>
      </c>
      <c r="L11" s="2" t="inlineStr">
        <is>
          <t>Plastico</t>
        </is>
      </c>
      <c r="M11" s="2" t="inlineStr">
        <is>
          <t>leitura repetivel no criterio de 90%.</t>
        </is>
      </c>
    </row>
    <row r="12">
      <c r="A12" s="2" t="n">
        <v>150</v>
      </c>
      <c r="B12" s="2" t="n">
        <v>120</v>
      </c>
      <c r="C12" s="7" t="n">
        <v>1.5</v>
      </c>
      <c r="D12" s="2" t="inlineStr">
        <is>
          <t>TAG120</t>
        </is>
      </c>
      <c r="E12" s="2" t="n">
        <v>30</v>
      </c>
      <c r="F12" s="2" t="n">
        <v>29</v>
      </c>
      <c r="G12" s="7">
        <f>IF(E12&gt;0,F12/E12*100,"")</f>
        <v/>
      </c>
      <c r="H12" s="7" t="n">
        <v>-58.8</v>
      </c>
      <c r="I12" s="7" t="n">
        <v>-62.3</v>
      </c>
      <c r="J12" s="7" t="n">
        <v>-56.3</v>
      </c>
      <c r="K12" s="2" t="n">
        <v>0</v>
      </c>
      <c r="L12" s="2" t="inlineStr">
        <is>
          <t>Plastico</t>
        </is>
      </c>
      <c r="M12" s="2" t="inlineStr">
        <is>
          <t>leitura repetivel no criterio de 90%.</t>
        </is>
      </c>
    </row>
    <row r="13" ht="30" customHeight="1">
      <c r="A13" s="2" t="n">
        <v>150</v>
      </c>
      <c r="B13" s="2" t="n">
        <v>120</v>
      </c>
      <c r="C13" s="7" t="n">
        <v>2</v>
      </c>
      <c r="D13" s="2" t="inlineStr">
        <is>
          <t>TAG120</t>
        </is>
      </c>
      <c r="E13" s="2" t="n">
        <v>30</v>
      </c>
      <c r="F13" s="2" t="n">
        <v>25</v>
      </c>
      <c r="G13" s="7">
        <f>IF(E13&gt;0,F13/E13*100,"")</f>
        <v/>
      </c>
      <c r="H13" s="7" t="n">
        <v>-66</v>
      </c>
      <c r="I13" s="7" t="n">
        <v>-69.5</v>
      </c>
      <c r="J13" s="7" t="n">
        <v>-63.5</v>
      </c>
      <c r="K13" s="2" t="n">
        <v>0</v>
      </c>
      <c r="L13" s="2" t="inlineStr">
        <is>
          <t>Plastico</t>
        </is>
      </c>
      <c r="M13" s="2" t="inlineStr">
        <is>
          <t>taxa reduzida por distancia/altura/suporte.</t>
        </is>
      </c>
    </row>
    <row r="14" ht="30" customHeight="1">
      <c r="A14" s="2" t="n">
        <v>150</v>
      </c>
      <c r="B14" s="2" t="n">
        <v>120</v>
      </c>
      <c r="C14" s="7" t="n">
        <v>2.5</v>
      </c>
      <c r="D14" s="2" t="inlineStr">
        <is>
          <t>TAG120</t>
        </is>
      </c>
      <c r="E14" s="2" t="n">
        <v>30</v>
      </c>
      <c r="F14" s="2" t="n">
        <v>22</v>
      </c>
      <c r="G14" s="7">
        <f>IF(E14&gt;0,F14/E14*100,"")</f>
        <v/>
      </c>
      <c r="H14" s="7" t="n">
        <v>-71.40000000000001</v>
      </c>
      <c r="I14" s="7" t="n">
        <v>-74.90000000000001</v>
      </c>
      <c r="J14" s="7" t="n">
        <v>-68.90000000000001</v>
      </c>
      <c r="K14" s="2" t="n">
        <v>0</v>
      </c>
      <c r="L14" s="2" t="inlineStr">
        <is>
          <t>Plastico</t>
        </is>
      </c>
      <c r="M14" s="2" t="inlineStr">
        <is>
          <t>taxa reduzida por distancia/altura/suporte.</t>
        </is>
      </c>
    </row>
    <row r="15" ht="30" customHeight="1">
      <c r="A15" s="2" t="n">
        <v>150</v>
      </c>
      <c r="B15" s="2" t="n">
        <v>120</v>
      </c>
      <c r="C15" s="7" t="n">
        <v>3</v>
      </c>
      <c r="D15" s="2" t="inlineStr">
        <is>
          <t>TAG120</t>
        </is>
      </c>
      <c r="E15" s="2" t="n">
        <v>30</v>
      </c>
      <c r="F15" s="2" t="n">
        <v>17</v>
      </c>
      <c r="G15" s="7">
        <f>IF(E15&gt;0,F15/E15*100,"")</f>
        <v/>
      </c>
      <c r="H15" s="7" t="n">
        <v>-76.8</v>
      </c>
      <c r="I15" s="7" t="n">
        <v>-80.3</v>
      </c>
      <c r="J15" s="7" t="n">
        <v>-74.3</v>
      </c>
      <c r="K15" s="2" t="n">
        <v>0</v>
      </c>
      <c r="L15" s="2" t="inlineStr">
        <is>
          <t>Plastico</t>
        </is>
      </c>
      <c r="M15" s="2" t="inlineStr">
        <is>
          <t>taxa reduzida por distancia/altura/suporte.</t>
        </is>
      </c>
    </row>
    <row r="16" ht="30" customHeight="1">
      <c r="A16" s="2" t="n">
        <v>150</v>
      </c>
      <c r="B16" s="2" t="n">
        <v>120</v>
      </c>
      <c r="C16" s="7" t="n">
        <v>3.5</v>
      </c>
      <c r="D16" s="2" t="inlineStr">
        <is>
          <t>TAG120</t>
        </is>
      </c>
      <c r="E16" s="2" t="n">
        <v>30</v>
      </c>
      <c r="F16" s="2" t="n">
        <v>6</v>
      </c>
      <c r="G16" s="7">
        <f>IF(E16&gt;0,F16/E16*100,"")</f>
        <v/>
      </c>
      <c r="H16" s="7" t="n">
        <v>-84</v>
      </c>
      <c r="I16" s="7" t="n">
        <v>-89.5</v>
      </c>
      <c r="J16" s="7" t="n">
        <v>-81.5</v>
      </c>
      <c r="K16" s="2" t="n">
        <v>0</v>
      </c>
      <c r="L16" s="2" t="inlineStr">
        <is>
          <t>Plastico</t>
        </is>
      </c>
      <c r="M16" s="2" t="inlineStr">
        <is>
          <t>taxa reduzida por distancia/altura/suporte.</t>
        </is>
      </c>
    </row>
    <row r="17" ht="30" customHeight="1">
      <c r="A17" s="2" t="n">
        <v>150</v>
      </c>
      <c r="B17" s="2" t="n">
        <v>120</v>
      </c>
      <c r="C17" s="7" t="n">
        <v>4</v>
      </c>
      <c r="D17" s="2" t="inlineStr">
        <is>
          <t>TAG120</t>
        </is>
      </c>
      <c r="E17" s="2" t="n">
        <v>30</v>
      </c>
      <c r="F17" s="2" t="n">
        <v>1</v>
      </c>
      <c r="G17" s="7">
        <f>IF(E17&gt;0,F17/E17*100,"")</f>
        <v/>
      </c>
      <c r="H17" s="7" t="n">
        <v>-89.40000000000001</v>
      </c>
      <c r="I17" s="7" t="n">
        <v>-94.90000000000001</v>
      </c>
      <c r="J17" s="7" t="n">
        <v>-86.90000000000001</v>
      </c>
      <c r="K17" s="2" t="n">
        <v>0</v>
      </c>
      <c r="L17" s="2" t="inlineStr">
        <is>
          <t>Plastico</t>
        </is>
      </c>
      <c r="M17" s="2" t="inlineStr">
        <is>
          <t>taxa reduzida por distancia/altura/suporte.</t>
        </is>
      </c>
    </row>
    <row r="18">
      <c r="A18" s="2" t="n">
        <v>150</v>
      </c>
      <c r="B18" s="2" t="n">
        <v>130</v>
      </c>
      <c r="C18" s="7" t="n">
        <v>0.5</v>
      </c>
      <c r="D18" s="2" t="inlineStr">
        <is>
          <t>TAG130</t>
        </is>
      </c>
      <c r="E18" s="2" t="n">
        <v>30</v>
      </c>
      <c r="F18" s="2" t="n">
        <v>30</v>
      </c>
      <c r="G18" s="7">
        <f>IF(E18&gt;0,F18/E18*100,"")</f>
        <v/>
      </c>
      <c r="H18" s="7" t="n">
        <v>-42.8</v>
      </c>
      <c r="I18" s="7" t="n">
        <v>-46.3</v>
      </c>
      <c r="J18" s="7" t="n">
        <v>-40.3</v>
      </c>
      <c r="K18" s="2" t="n">
        <v>0</v>
      </c>
      <c r="L18" s="2" t="inlineStr">
        <is>
          <t>Plastico</t>
        </is>
      </c>
      <c r="M18" s="2" t="inlineStr">
        <is>
          <t>leitura repetivel no criterio de 90%.</t>
        </is>
      </c>
    </row>
    <row r="19">
      <c r="A19" s="2" t="n">
        <v>150</v>
      </c>
      <c r="B19" s="2" t="n">
        <v>130</v>
      </c>
      <c r="C19" s="7" t="n">
        <v>1</v>
      </c>
      <c r="D19" s="2" t="inlineStr">
        <is>
          <t>TAG130</t>
        </is>
      </c>
      <c r="E19" s="2" t="n">
        <v>30</v>
      </c>
      <c r="F19" s="2" t="n">
        <v>28</v>
      </c>
      <c r="G19" s="7">
        <f>IF(E19&gt;0,F19/E19*100,"")</f>
        <v/>
      </c>
      <c r="H19" s="7" t="n">
        <v>-52</v>
      </c>
      <c r="I19" s="7" t="n">
        <v>-55.5</v>
      </c>
      <c r="J19" s="7" t="n">
        <v>-49.5</v>
      </c>
      <c r="K19" s="2" t="n">
        <v>0</v>
      </c>
      <c r="L19" s="2" t="inlineStr">
        <is>
          <t>Plastico</t>
        </is>
      </c>
      <c r="M19" s="2" t="inlineStr">
        <is>
          <t>leitura repetivel no criterio de 90%.</t>
        </is>
      </c>
    </row>
    <row r="20">
      <c r="A20" s="2" t="n">
        <v>150</v>
      </c>
      <c r="B20" s="2" t="n">
        <v>130</v>
      </c>
      <c r="C20" s="7" t="n">
        <v>1.5</v>
      </c>
      <c r="D20" s="2" t="inlineStr">
        <is>
          <t>TAG130</t>
        </is>
      </c>
      <c r="E20" s="2" t="n">
        <v>30</v>
      </c>
      <c r="F20" s="2" t="n">
        <v>28</v>
      </c>
      <c r="G20" s="7">
        <f>IF(E20&gt;0,F20/E20*100,"")</f>
        <v/>
      </c>
      <c r="H20" s="7" t="n">
        <v>-59.4</v>
      </c>
      <c r="I20" s="7" t="n">
        <v>-62.9</v>
      </c>
      <c r="J20" s="7" t="n">
        <v>-56.9</v>
      </c>
      <c r="K20" s="2" t="n">
        <v>0</v>
      </c>
      <c r="L20" s="2" t="inlineStr">
        <is>
          <t>Plastico</t>
        </is>
      </c>
      <c r="M20" s="2" t="inlineStr">
        <is>
          <t>leitura repetivel no criterio de 90%.</t>
        </is>
      </c>
    </row>
    <row r="21">
      <c r="A21" s="2" t="n">
        <v>150</v>
      </c>
      <c r="B21" s="2" t="n">
        <v>130</v>
      </c>
      <c r="C21" s="7" t="n">
        <v>2</v>
      </c>
      <c r="D21" s="2" t="inlineStr">
        <is>
          <t>TAG130</t>
        </is>
      </c>
      <c r="E21" s="2" t="n">
        <v>30</v>
      </c>
      <c r="F21" s="2" t="n">
        <v>27</v>
      </c>
      <c r="G21" s="7">
        <f>IF(E21&gt;0,F21/E21*100,"")</f>
        <v/>
      </c>
      <c r="H21" s="7" t="n">
        <v>-64.8</v>
      </c>
      <c r="I21" s="7" t="n">
        <v>-68.3</v>
      </c>
      <c r="J21" s="7" t="n">
        <v>-62.3</v>
      </c>
      <c r="K21" s="2" t="n">
        <v>0</v>
      </c>
      <c r="L21" s="2" t="inlineStr">
        <is>
          <t>Plastico</t>
        </is>
      </c>
      <c r="M21" s="2" t="inlineStr">
        <is>
          <t>leitura repetivel no criterio de 90%.</t>
        </is>
      </c>
    </row>
    <row r="22" ht="30" customHeight="1">
      <c r="A22" s="2" t="n">
        <v>150</v>
      </c>
      <c r="B22" s="2" t="n">
        <v>130</v>
      </c>
      <c r="C22" s="7" t="n">
        <v>2.5</v>
      </c>
      <c r="D22" s="2" t="inlineStr">
        <is>
          <t>TAG130</t>
        </is>
      </c>
      <c r="E22" s="2" t="n">
        <v>30</v>
      </c>
      <c r="F22" s="2" t="n">
        <v>21</v>
      </c>
      <c r="G22" s="7">
        <f>IF(E22&gt;0,F22/E22*100,"")</f>
        <v/>
      </c>
      <c r="H22" s="7" t="n">
        <v>-72</v>
      </c>
      <c r="I22" s="7" t="n">
        <v>-75.5</v>
      </c>
      <c r="J22" s="7" t="n">
        <v>-69.5</v>
      </c>
      <c r="K22" s="2" t="n">
        <v>0</v>
      </c>
      <c r="L22" s="2" t="inlineStr">
        <is>
          <t>Plastico</t>
        </is>
      </c>
      <c r="M22" s="2" t="inlineStr">
        <is>
          <t>taxa reduzida por distancia/altura/suporte.</t>
        </is>
      </c>
    </row>
    <row r="23" ht="30" customHeight="1">
      <c r="A23" s="2" t="n">
        <v>150</v>
      </c>
      <c r="B23" s="2" t="n">
        <v>130</v>
      </c>
      <c r="C23" s="7" t="n">
        <v>3</v>
      </c>
      <c r="D23" s="2" t="inlineStr">
        <is>
          <t>TAG130</t>
        </is>
      </c>
      <c r="E23" s="2" t="n">
        <v>30</v>
      </c>
      <c r="F23" s="2" t="n">
        <v>16</v>
      </c>
      <c r="G23" s="7">
        <f>IF(E23&gt;0,F23/E23*100,"")</f>
        <v/>
      </c>
      <c r="H23" s="7" t="n">
        <v>-77.40000000000001</v>
      </c>
      <c r="I23" s="7" t="n">
        <v>-80.90000000000001</v>
      </c>
      <c r="J23" s="7" t="n">
        <v>-74.90000000000001</v>
      </c>
      <c r="K23" s="2" t="n">
        <v>0</v>
      </c>
      <c r="L23" s="2" t="inlineStr">
        <is>
          <t>Plastico</t>
        </is>
      </c>
      <c r="M23" s="2" t="inlineStr">
        <is>
          <t>taxa reduzida por distancia/altura/suporte.</t>
        </is>
      </c>
    </row>
    <row r="24" ht="30" customHeight="1">
      <c r="A24" s="2" t="n">
        <v>150</v>
      </c>
      <c r="B24" s="2" t="n">
        <v>130</v>
      </c>
      <c r="C24" s="7" t="n">
        <v>3.5</v>
      </c>
      <c r="D24" s="2" t="inlineStr">
        <is>
          <t>TAG130</t>
        </is>
      </c>
      <c r="E24" s="2" t="n">
        <v>30</v>
      </c>
      <c r="F24" s="2" t="n">
        <v>8</v>
      </c>
      <c r="G24" s="7">
        <f>IF(E24&gt;0,F24/E24*100,"")</f>
        <v/>
      </c>
      <c r="H24" s="7" t="n">
        <v>-82.8</v>
      </c>
      <c r="I24" s="7" t="n">
        <v>-88.3</v>
      </c>
      <c r="J24" s="7" t="n">
        <v>-80.3</v>
      </c>
      <c r="K24" s="2" t="n">
        <v>0</v>
      </c>
      <c r="L24" s="2" t="inlineStr">
        <is>
          <t>Plastico</t>
        </is>
      </c>
      <c r="M24" s="2" t="inlineStr">
        <is>
          <t>taxa reduzida por distancia/altura/suporte.</t>
        </is>
      </c>
    </row>
    <row r="25">
      <c r="A25" s="2" t="n">
        <v>150</v>
      </c>
      <c r="B25" s="2" t="n">
        <v>130</v>
      </c>
      <c r="C25" s="7" t="n">
        <v>4</v>
      </c>
      <c r="D25" s="2" t="inlineStr">
        <is>
          <t>TAG130</t>
        </is>
      </c>
      <c r="E25" s="2" t="n">
        <v>30</v>
      </c>
      <c r="F25" s="2" t="n">
        <v>0</v>
      </c>
      <c r="G25" s="7">
        <f>IF(E25&gt;0,F25/E25*100,"")</f>
        <v/>
      </c>
      <c r="H25" s="2" t="inlineStr"/>
      <c r="I25" s="2" t="inlineStr"/>
      <c r="J25" s="2" t="inlineStr"/>
      <c r="K25" s="2" t="n">
        <v>0</v>
      </c>
      <c r="L25" s="2" t="inlineStr">
        <is>
          <t>Plastico</t>
        </is>
      </c>
      <c r="M25" s="2" t="inlineStr">
        <is>
          <t>fora da faixa repetivel nesta configuracao.</t>
        </is>
      </c>
    </row>
    <row r="26">
      <c r="A26" s="2" t="n">
        <v>150</v>
      </c>
      <c r="B26" s="2" t="n">
        <v>140</v>
      </c>
      <c r="C26" s="7" t="n">
        <v>0.5</v>
      </c>
      <c r="D26" s="2" t="inlineStr">
        <is>
          <t>TAG140</t>
        </is>
      </c>
      <c r="E26" s="2" t="n">
        <v>30</v>
      </c>
      <c r="F26" s="2" t="n">
        <v>30</v>
      </c>
      <c r="G26" s="7">
        <f>IF(E26&gt;0,F26/E26*100,"")</f>
        <v/>
      </c>
      <c r="H26" s="7" t="n">
        <v>-42</v>
      </c>
      <c r="I26" s="7" t="n">
        <v>-45.5</v>
      </c>
      <c r="J26" s="7" t="n">
        <v>-39.5</v>
      </c>
      <c r="K26" s="2" t="n">
        <v>0</v>
      </c>
      <c r="L26" s="2" t="inlineStr">
        <is>
          <t>Plastico</t>
        </is>
      </c>
      <c r="M26" s="2" t="inlineStr">
        <is>
          <t>leitura repetivel no criterio de 90%.</t>
        </is>
      </c>
    </row>
    <row r="27">
      <c r="A27" s="2" t="n">
        <v>150</v>
      </c>
      <c r="B27" s="2" t="n">
        <v>140</v>
      </c>
      <c r="C27" s="7" t="n">
        <v>1</v>
      </c>
      <c r="D27" s="2" t="inlineStr">
        <is>
          <t>TAG140</t>
        </is>
      </c>
      <c r="E27" s="2" t="n">
        <v>30</v>
      </c>
      <c r="F27" s="2" t="n">
        <v>30</v>
      </c>
      <c r="G27" s="7">
        <f>IF(E27&gt;0,F27/E27*100,"")</f>
        <v/>
      </c>
      <c r="H27" s="7" t="n">
        <v>-49.4</v>
      </c>
      <c r="I27" s="7" t="n">
        <v>-52.9</v>
      </c>
      <c r="J27" s="7" t="n">
        <v>-46.9</v>
      </c>
      <c r="K27" s="2" t="n">
        <v>0</v>
      </c>
      <c r="L27" s="2" t="inlineStr">
        <is>
          <t>Plastico</t>
        </is>
      </c>
      <c r="M27" s="2" t="inlineStr">
        <is>
          <t>leitura repetivel no criterio de 90%.</t>
        </is>
      </c>
    </row>
    <row r="28">
      <c r="A28" s="2" t="n">
        <v>150</v>
      </c>
      <c r="B28" s="2" t="n">
        <v>140</v>
      </c>
      <c r="C28" s="7" t="n">
        <v>1.5</v>
      </c>
      <c r="D28" s="2" t="inlineStr">
        <is>
          <t>TAG140</t>
        </is>
      </c>
      <c r="E28" s="2" t="n">
        <v>30</v>
      </c>
      <c r="F28" s="2" t="n">
        <v>28</v>
      </c>
      <c r="G28" s="7">
        <f>IF(E28&gt;0,F28/E28*100,"")</f>
        <v/>
      </c>
      <c r="H28" s="7" t="n">
        <v>-58.6</v>
      </c>
      <c r="I28" s="7" t="n">
        <v>-62.1</v>
      </c>
      <c r="J28" s="7" t="n">
        <v>-56.1</v>
      </c>
      <c r="K28" s="2" t="n">
        <v>0</v>
      </c>
      <c r="L28" s="2" t="inlineStr">
        <is>
          <t>Plastico</t>
        </is>
      </c>
      <c r="M28" s="2" t="inlineStr">
        <is>
          <t>leitura repetivel no criterio de 90%.</t>
        </is>
      </c>
    </row>
    <row r="29">
      <c r="A29" s="2" t="n">
        <v>150</v>
      </c>
      <c r="B29" s="2" t="n">
        <v>140</v>
      </c>
      <c r="C29" s="7" t="n">
        <v>2</v>
      </c>
      <c r="D29" s="2" t="inlineStr">
        <is>
          <t>TAG140</t>
        </is>
      </c>
      <c r="E29" s="2" t="n">
        <v>30</v>
      </c>
      <c r="F29" s="2" t="n">
        <v>27</v>
      </c>
      <c r="G29" s="7">
        <f>IF(E29&gt;0,F29/E29*100,"")</f>
        <v/>
      </c>
      <c r="H29" s="7" t="n">
        <v>-64</v>
      </c>
      <c r="I29" s="7" t="n">
        <v>-67.5</v>
      </c>
      <c r="J29" s="7" t="n">
        <v>-61.5</v>
      </c>
      <c r="K29" s="2" t="n">
        <v>0</v>
      </c>
      <c r="L29" s="2" t="inlineStr">
        <is>
          <t>Plastico</t>
        </is>
      </c>
      <c r="M29" s="2" t="inlineStr">
        <is>
          <t>leitura repetivel no criterio de 90%.</t>
        </is>
      </c>
    </row>
    <row r="30" ht="30" customHeight="1">
      <c r="A30" s="2" t="n">
        <v>150</v>
      </c>
      <c r="B30" s="2" t="n">
        <v>140</v>
      </c>
      <c r="C30" s="7" t="n">
        <v>2.5</v>
      </c>
      <c r="D30" s="2" t="inlineStr">
        <is>
          <t>TAG140</t>
        </is>
      </c>
      <c r="E30" s="2" t="n">
        <v>30</v>
      </c>
      <c r="F30" s="2" t="n">
        <v>24</v>
      </c>
      <c r="G30" s="7">
        <f>IF(E30&gt;0,F30/E30*100,"")</f>
        <v/>
      </c>
      <c r="H30" s="7" t="n">
        <v>-69.40000000000001</v>
      </c>
      <c r="I30" s="7" t="n">
        <v>-72.90000000000001</v>
      </c>
      <c r="J30" s="7" t="n">
        <v>-66.90000000000001</v>
      </c>
      <c r="K30" s="2" t="n">
        <v>0</v>
      </c>
      <c r="L30" s="2" t="inlineStr">
        <is>
          <t>Plastico</t>
        </is>
      </c>
      <c r="M30" s="2" t="inlineStr">
        <is>
          <t>taxa reduzida por distancia/altura/suporte.</t>
        </is>
      </c>
    </row>
    <row r="31" ht="30" customHeight="1">
      <c r="A31" s="2" t="n">
        <v>150</v>
      </c>
      <c r="B31" s="2" t="n">
        <v>140</v>
      </c>
      <c r="C31" s="7" t="n">
        <v>3</v>
      </c>
      <c r="D31" s="2" t="inlineStr">
        <is>
          <t>TAG140</t>
        </is>
      </c>
      <c r="E31" s="2" t="n">
        <v>30</v>
      </c>
      <c r="F31" s="2" t="n">
        <v>16</v>
      </c>
      <c r="G31" s="7">
        <f>IF(E31&gt;0,F31/E31*100,"")</f>
        <v/>
      </c>
      <c r="H31" s="7" t="n">
        <v>-76.59999999999999</v>
      </c>
      <c r="I31" s="7" t="n">
        <v>-80.09999999999999</v>
      </c>
      <c r="J31" s="7" t="n">
        <v>-74.09999999999999</v>
      </c>
      <c r="K31" s="2" t="n">
        <v>0</v>
      </c>
      <c r="L31" s="2" t="inlineStr">
        <is>
          <t>Plastico</t>
        </is>
      </c>
      <c r="M31" s="2" t="inlineStr">
        <is>
          <t>taxa reduzida por distancia/altura/suporte.</t>
        </is>
      </c>
    </row>
    <row r="32" ht="30" customHeight="1">
      <c r="A32" s="2" t="n">
        <v>150</v>
      </c>
      <c r="B32" s="2" t="n">
        <v>140</v>
      </c>
      <c r="C32" s="7" t="n">
        <v>3.5</v>
      </c>
      <c r="D32" s="2" t="inlineStr">
        <is>
          <t>TAG140</t>
        </is>
      </c>
      <c r="E32" s="2" t="n">
        <v>30</v>
      </c>
      <c r="F32" s="2" t="n">
        <v>8</v>
      </c>
      <c r="G32" s="7">
        <f>IF(E32&gt;0,F32/E32*100,"")</f>
        <v/>
      </c>
      <c r="H32" s="7" t="n">
        <v>-82</v>
      </c>
      <c r="I32" s="7" t="n">
        <v>-87.5</v>
      </c>
      <c r="J32" s="7" t="n">
        <v>-79.5</v>
      </c>
      <c r="K32" s="2" t="n">
        <v>0</v>
      </c>
      <c r="L32" s="2" t="inlineStr">
        <is>
          <t>Plastico</t>
        </is>
      </c>
      <c r="M32" s="2" t="inlineStr">
        <is>
          <t>taxa reduzida por distancia/altura/suporte.</t>
        </is>
      </c>
    </row>
    <row r="33" ht="30" customHeight="1">
      <c r="A33" s="2" t="n">
        <v>150</v>
      </c>
      <c r="B33" s="2" t="n">
        <v>140</v>
      </c>
      <c r="C33" s="7" t="n">
        <v>4</v>
      </c>
      <c r="D33" s="2" t="inlineStr">
        <is>
          <t>TAG140</t>
        </is>
      </c>
      <c r="E33" s="2" t="n">
        <v>30</v>
      </c>
      <c r="F33" s="2" t="n">
        <v>3</v>
      </c>
      <c r="G33" s="7">
        <f>IF(E33&gt;0,F33/E33*100,"")</f>
        <v/>
      </c>
      <c r="H33" s="7" t="n">
        <v>-87.40000000000001</v>
      </c>
      <c r="I33" s="7" t="n">
        <v>-92.90000000000001</v>
      </c>
      <c r="J33" s="7" t="n">
        <v>-84.90000000000001</v>
      </c>
      <c r="K33" s="2" t="n">
        <v>0</v>
      </c>
      <c r="L33" s="2" t="inlineStr">
        <is>
          <t>Plastico</t>
        </is>
      </c>
      <c r="M33" s="2" t="inlineStr">
        <is>
          <t>taxa reduzida por distancia/altura/suporte.</t>
        </is>
      </c>
    </row>
    <row r="34">
      <c r="A34" s="2" t="n">
        <v>150</v>
      </c>
      <c r="B34" s="2" t="n">
        <v>150</v>
      </c>
      <c r="C34" s="7" t="n">
        <v>0.5</v>
      </c>
      <c r="D34" s="2" t="inlineStr">
        <is>
          <t>TAG150</t>
        </is>
      </c>
      <c r="E34" s="2" t="n">
        <v>30</v>
      </c>
      <c r="F34" s="2" t="n">
        <v>29</v>
      </c>
      <c r="G34" s="7">
        <f>IF(E34&gt;0,F34/E34*100,"")</f>
        <v/>
      </c>
      <c r="H34" s="7" t="n">
        <v>-43.4</v>
      </c>
      <c r="I34" s="7" t="n">
        <v>-46.9</v>
      </c>
      <c r="J34" s="7" t="n">
        <v>-40.9</v>
      </c>
      <c r="K34" s="2" t="n">
        <v>0</v>
      </c>
      <c r="L34" s="2" t="inlineStr">
        <is>
          <t>Madeira</t>
        </is>
      </c>
      <c r="M34" s="2" t="inlineStr">
        <is>
          <t>leitura repetivel no criterio de 90%.</t>
        </is>
      </c>
    </row>
    <row r="35">
      <c r="A35" s="2" t="n">
        <v>150</v>
      </c>
      <c r="B35" s="2" t="n">
        <v>150</v>
      </c>
      <c r="C35" s="7" t="n">
        <v>1</v>
      </c>
      <c r="D35" s="2" t="inlineStr">
        <is>
          <t>TAG150</t>
        </is>
      </c>
      <c r="E35" s="2" t="n">
        <v>30</v>
      </c>
      <c r="F35" s="2" t="n">
        <v>30</v>
      </c>
      <c r="G35" s="7">
        <f>IF(E35&gt;0,F35/E35*100,"")</f>
        <v/>
      </c>
      <c r="H35" s="7" t="n">
        <v>-50.8</v>
      </c>
      <c r="I35" s="7" t="n">
        <v>-54.3</v>
      </c>
      <c r="J35" s="7" t="n">
        <v>-48.3</v>
      </c>
      <c r="K35" s="2" t="n">
        <v>0</v>
      </c>
      <c r="L35" s="2" t="inlineStr">
        <is>
          <t>Madeira</t>
        </is>
      </c>
      <c r="M35" s="2" t="inlineStr">
        <is>
          <t>leitura repetivel no criterio de 90%.</t>
        </is>
      </c>
    </row>
    <row r="36">
      <c r="A36" s="2" t="n">
        <v>150</v>
      </c>
      <c r="B36" s="2" t="n">
        <v>150</v>
      </c>
      <c r="C36" s="7" t="n">
        <v>1.5</v>
      </c>
      <c r="D36" s="2" t="inlineStr">
        <is>
          <t>TAG150</t>
        </is>
      </c>
      <c r="E36" s="2" t="n">
        <v>30</v>
      </c>
      <c r="F36" s="2" t="n">
        <v>30</v>
      </c>
      <c r="G36" s="7">
        <f>IF(E36&gt;0,F36/E36*100,"")</f>
        <v/>
      </c>
      <c r="H36" s="7" t="n">
        <v>-58.2</v>
      </c>
      <c r="I36" s="7" t="n">
        <v>-61.7</v>
      </c>
      <c r="J36" s="7" t="n">
        <v>-55.7</v>
      </c>
      <c r="K36" s="2" t="n">
        <v>0</v>
      </c>
      <c r="L36" s="2" t="inlineStr">
        <is>
          <t>Madeira</t>
        </is>
      </c>
      <c r="M36" s="2" t="inlineStr">
        <is>
          <t>leitura repetivel no criterio de 90%.</t>
        </is>
      </c>
    </row>
    <row r="37" ht="30" customHeight="1">
      <c r="A37" s="2" t="n">
        <v>150</v>
      </c>
      <c r="B37" s="2" t="n">
        <v>150</v>
      </c>
      <c r="C37" s="7" t="n">
        <v>2</v>
      </c>
      <c r="D37" s="2" t="inlineStr">
        <is>
          <t>TAG150</t>
        </is>
      </c>
      <c r="E37" s="2" t="n">
        <v>30</v>
      </c>
      <c r="F37" s="2" t="n">
        <v>26</v>
      </c>
      <c r="G37" s="7">
        <f>IF(E37&gt;0,F37/E37*100,"")</f>
        <v/>
      </c>
      <c r="H37" s="7" t="n">
        <v>-65.40000000000001</v>
      </c>
      <c r="I37" s="7" t="n">
        <v>-68.90000000000001</v>
      </c>
      <c r="J37" s="7" t="n">
        <v>-62.9</v>
      </c>
      <c r="K37" s="2" t="n">
        <v>0</v>
      </c>
      <c r="L37" s="2" t="inlineStr">
        <is>
          <t>Madeira</t>
        </is>
      </c>
      <c r="M37" s="2" t="inlineStr">
        <is>
          <t>taxa reduzida por distancia/altura/suporte.</t>
        </is>
      </c>
    </row>
    <row r="38" ht="30" customHeight="1">
      <c r="A38" s="2" t="n">
        <v>150</v>
      </c>
      <c r="B38" s="2" t="n">
        <v>150</v>
      </c>
      <c r="C38" s="7" t="n">
        <v>2.5</v>
      </c>
      <c r="D38" s="2" t="inlineStr">
        <is>
          <t>TAG150</t>
        </is>
      </c>
      <c r="E38" s="2" t="n">
        <v>30</v>
      </c>
      <c r="F38" s="2" t="n">
        <v>23</v>
      </c>
      <c r="G38" s="7">
        <f>IF(E38&gt;0,F38/E38*100,"")</f>
        <v/>
      </c>
      <c r="H38" s="7" t="n">
        <v>-70.8</v>
      </c>
      <c r="I38" s="7" t="n">
        <v>-74.3</v>
      </c>
      <c r="J38" s="7" t="n">
        <v>-68.3</v>
      </c>
      <c r="K38" s="2" t="n">
        <v>0</v>
      </c>
      <c r="L38" s="2" t="inlineStr">
        <is>
          <t>Madeira</t>
        </is>
      </c>
      <c r="M38" s="2" t="inlineStr">
        <is>
          <t>taxa reduzida por distancia/altura/suporte.</t>
        </is>
      </c>
    </row>
    <row r="39" ht="30" customHeight="1">
      <c r="A39" s="2" t="n">
        <v>150</v>
      </c>
      <c r="B39" s="2" t="n">
        <v>150</v>
      </c>
      <c r="C39" s="7" t="n">
        <v>3</v>
      </c>
      <c r="D39" s="2" t="inlineStr">
        <is>
          <t>TAG150</t>
        </is>
      </c>
      <c r="E39" s="2" t="n">
        <v>30</v>
      </c>
      <c r="F39" s="2" t="n">
        <v>18</v>
      </c>
      <c r="G39" s="7">
        <f>IF(E39&gt;0,F39/E39*100,"")</f>
        <v/>
      </c>
      <c r="H39" s="7" t="n">
        <v>-76.2</v>
      </c>
      <c r="I39" s="7" t="n">
        <v>-79.7</v>
      </c>
      <c r="J39" s="7" t="n">
        <v>-73.7</v>
      </c>
      <c r="K39" s="2" t="n">
        <v>0</v>
      </c>
      <c r="L39" s="2" t="inlineStr">
        <is>
          <t>Madeira</t>
        </is>
      </c>
      <c r="M39" s="2" t="inlineStr">
        <is>
          <t>taxa reduzida por distancia/altura/suporte.</t>
        </is>
      </c>
    </row>
    <row r="40" ht="30" customHeight="1">
      <c r="A40" s="2" t="n">
        <v>150</v>
      </c>
      <c r="B40" s="2" t="n">
        <v>150</v>
      </c>
      <c r="C40" s="7" t="n">
        <v>3.5</v>
      </c>
      <c r="D40" s="2" t="inlineStr">
        <is>
          <t>TAG150</t>
        </is>
      </c>
      <c r="E40" s="2" t="n">
        <v>30</v>
      </c>
      <c r="F40" s="2" t="n">
        <v>7</v>
      </c>
      <c r="G40" s="7">
        <f>IF(E40&gt;0,F40/E40*100,"")</f>
        <v/>
      </c>
      <c r="H40" s="7" t="n">
        <v>-83.40000000000001</v>
      </c>
      <c r="I40" s="7" t="n">
        <v>-88.90000000000001</v>
      </c>
      <c r="J40" s="7" t="n">
        <v>-80.90000000000001</v>
      </c>
      <c r="K40" s="2" t="n">
        <v>0</v>
      </c>
      <c r="L40" s="2" t="inlineStr">
        <is>
          <t>Madeira</t>
        </is>
      </c>
      <c r="M40" s="2" t="inlineStr">
        <is>
          <t>taxa reduzida por distancia/altura/suporte.</t>
        </is>
      </c>
    </row>
    <row r="41" ht="30" customHeight="1">
      <c r="A41" s="2" t="n">
        <v>150</v>
      </c>
      <c r="B41" s="2" t="n">
        <v>150</v>
      </c>
      <c r="C41" s="7" t="n">
        <v>4</v>
      </c>
      <c r="D41" s="2" t="inlineStr">
        <is>
          <t>TAG150</t>
        </is>
      </c>
      <c r="E41" s="2" t="n">
        <v>30</v>
      </c>
      <c r="F41" s="2" t="n">
        <v>2</v>
      </c>
      <c r="G41" s="7">
        <f>IF(E41&gt;0,F41/E41*100,"")</f>
        <v/>
      </c>
      <c r="H41" s="7" t="n">
        <v>-88.8</v>
      </c>
      <c r="I41" s="7" t="n">
        <v>-94.3</v>
      </c>
      <c r="J41" s="7" t="n">
        <v>-86.3</v>
      </c>
      <c r="K41" s="2" t="n">
        <v>0</v>
      </c>
      <c r="L41" s="2" t="inlineStr">
        <is>
          <t>Madeira</t>
        </is>
      </c>
      <c r="M41" s="2" t="inlineStr">
        <is>
          <t>taxa reduzida por distancia/altura/suporte.</t>
        </is>
      </c>
    </row>
    <row r="42">
      <c r="A42" s="2" t="n">
        <v>150</v>
      </c>
      <c r="B42" s="2" t="n">
        <v>160</v>
      </c>
      <c r="C42" s="7" t="n">
        <v>0.5</v>
      </c>
      <c r="D42" s="2" t="inlineStr">
        <is>
          <t>TAG160</t>
        </is>
      </c>
      <c r="E42" s="2" t="n">
        <v>30</v>
      </c>
      <c r="F42" s="2" t="n">
        <v>30</v>
      </c>
      <c r="G42" s="7">
        <f>IF(E42&gt;0,F42/E42*100,"")</f>
        <v/>
      </c>
      <c r="H42" s="7" t="n">
        <v>-42.2</v>
      </c>
      <c r="I42" s="7" t="n">
        <v>-45.7</v>
      </c>
      <c r="J42" s="7" t="n">
        <v>-39.7</v>
      </c>
      <c r="K42" s="2" t="n">
        <v>0</v>
      </c>
      <c r="L42" s="2" t="inlineStr">
        <is>
          <t>Madeira</t>
        </is>
      </c>
      <c r="M42" s="2" t="inlineStr">
        <is>
          <t>leitura repetivel no criterio de 90%.</t>
        </is>
      </c>
    </row>
    <row r="43">
      <c r="A43" s="2" t="n">
        <v>150</v>
      </c>
      <c r="B43" s="2" t="n">
        <v>160</v>
      </c>
      <c r="C43" s="7" t="n">
        <v>1</v>
      </c>
      <c r="D43" s="2" t="inlineStr">
        <is>
          <t>TAG160</t>
        </is>
      </c>
      <c r="E43" s="2" t="n">
        <v>30</v>
      </c>
      <c r="F43" s="2" t="n">
        <v>29</v>
      </c>
      <c r="G43" s="7">
        <f>IF(E43&gt;0,F43/E43*100,"")</f>
        <v/>
      </c>
      <c r="H43" s="7" t="n">
        <v>-51.4</v>
      </c>
      <c r="I43" s="7" t="n">
        <v>-54.9</v>
      </c>
      <c r="J43" s="7" t="n">
        <v>-48.9</v>
      </c>
      <c r="K43" s="2" t="n">
        <v>0</v>
      </c>
      <c r="L43" s="2" t="inlineStr">
        <is>
          <t>Madeira</t>
        </is>
      </c>
      <c r="M43" s="2" t="inlineStr">
        <is>
          <t>leitura repetivel no criterio de 90%.</t>
        </is>
      </c>
    </row>
    <row r="44">
      <c r="A44" s="2" t="n">
        <v>150</v>
      </c>
      <c r="B44" s="2" t="n">
        <v>160</v>
      </c>
      <c r="C44" s="7" t="n">
        <v>1.5</v>
      </c>
      <c r="D44" s="2" t="inlineStr">
        <is>
          <t>TAG160</t>
        </is>
      </c>
      <c r="E44" s="2" t="n">
        <v>30</v>
      </c>
      <c r="F44" s="2" t="n">
        <v>29</v>
      </c>
      <c r="G44" s="7">
        <f>IF(E44&gt;0,F44/E44*100,"")</f>
        <v/>
      </c>
      <c r="H44" s="7" t="n">
        <v>-58.8</v>
      </c>
      <c r="I44" s="7" t="n">
        <v>-62.3</v>
      </c>
      <c r="J44" s="7" t="n">
        <v>-56.3</v>
      </c>
      <c r="K44" s="2" t="n">
        <v>0</v>
      </c>
      <c r="L44" s="2" t="inlineStr">
        <is>
          <t>Madeira</t>
        </is>
      </c>
      <c r="M44" s="2" t="inlineStr">
        <is>
          <t>leitura repetivel no criterio de 90%.</t>
        </is>
      </c>
    </row>
    <row r="45">
      <c r="A45" s="2" t="n">
        <v>150</v>
      </c>
      <c r="B45" s="2" t="n">
        <v>160</v>
      </c>
      <c r="C45" s="7" t="n">
        <v>2</v>
      </c>
      <c r="D45" s="2" t="inlineStr">
        <is>
          <t>TAG160</t>
        </is>
      </c>
      <c r="E45" s="2" t="n">
        <v>30</v>
      </c>
      <c r="F45" s="2" t="n">
        <v>28</v>
      </c>
      <c r="G45" s="7">
        <f>IF(E45&gt;0,F45/E45*100,"")</f>
        <v/>
      </c>
      <c r="H45" s="7" t="n">
        <v>-64.2</v>
      </c>
      <c r="I45" s="7" t="n">
        <v>-67.7</v>
      </c>
      <c r="J45" s="7" t="n">
        <v>-61.7</v>
      </c>
      <c r="K45" s="2" t="n">
        <v>0</v>
      </c>
      <c r="L45" s="2" t="inlineStr">
        <is>
          <t>Madeira</t>
        </is>
      </c>
      <c r="M45" s="2" t="inlineStr">
        <is>
          <t>leitura repetivel no criterio de 90%.</t>
        </is>
      </c>
    </row>
    <row r="46" ht="30" customHeight="1">
      <c r="A46" s="2" t="n">
        <v>150</v>
      </c>
      <c r="B46" s="2" t="n">
        <v>160</v>
      </c>
      <c r="C46" s="7" t="n">
        <v>2.5</v>
      </c>
      <c r="D46" s="2" t="inlineStr">
        <is>
          <t>TAG160</t>
        </is>
      </c>
      <c r="E46" s="2" t="n">
        <v>30</v>
      </c>
      <c r="F46" s="2" t="n">
        <v>22</v>
      </c>
      <c r="G46" s="7">
        <f>IF(E46&gt;0,F46/E46*100,"")</f>
        <v/>
      </c>
      <c r="H46" s="7" t="n">
        <v>-71.40000000000001</v>
      </c>
      <c r="I46" s="7" t="n">
        <v>-74.90000000000001</v>
      </c>
      <c r="J46" s="7" t="n">
        <v>-68.90000000000001</v>
      </c>
      <c r="K46" s="2" t="n">
        <v>0</v>
      </c>
      <c r="L46" s="2" t="inlineStr">
        <is>
          <t>Madeira</t>
        </is>
      </c>
      <c r="M46" s="2" t="inlineStr">
        <is>
          <t>taxa reduzida por distancia/altura/suporte.</t>
        </is>
      </c>
    </row>
    <row r="47" ht="30" customHeight="1">
      <c r="A47" s="2" t="n">
        <v>150</v>
      </c>
      <c r="B47" s="2" t="n">
        <v>160</v>
      </c>
      <c r="C47" s="7" t="n">
        <v>3</v>
      </c>
      <c r="D47" s="2" t="inlineStr">
        <is>
          <t>TAG160</t>
        </is>
      </c>
      <c r="E47" s="2" t="n">
        <v>30</v>
      </c>
      <c r="F47" s="2" t="n">
        <v>17</v>
      </c>
      <c r="G47" s="7">
        <f>IF(E47&gt;0,F47/E47*100,"")</f>
        <v/>
      </c>
      <c r="H47" s="7" t="n">
        <v>-76.8</v>
      </c>
      <c r="I47" s="7" t="n">
        <v>-80.3</v>
      </c>
      <c r="J47" s="7" t="n">
        <v>-74.3</v>
      </c>
      <c r="K47" s="2" t="n">
        <v>0</v>
      </c>
      <c r="L47" s="2" t="inlineStr">
        <is>
          <t>Madeira</t>
        </is>
      </c>
      <c r="M47" s="2" t="inlineStr">
        <is>
          <t>taxa reduzida por distancia/altura/suporte.</t>
        </is>
      </c>
    </row>
    <row r="48" ht="30" customHeight="1">
      <c r="A48" s="2" t="n">
        <v>150</v>
      </c>
      <c r="B48" s="2" t="n">
        <v>160</v>
      </c>
      <c r="C48" s="7" t="n">
        <v>3.5</v>
      </c>
      <c r="D48" s="2" t="inlineStr">
        <is>
          <t>TAG160</t>
        </is>
      </c>
      <c r="E48" s="2" t="n">
        <v>30</v>
      </c>
      <c r="F48" s="2" t="n">
        <v>9</v>
      </c>
      <c r="G48" s="7">
        <f>IF(E48&gt;0,F48/E48*100,"")</f>
        <v/>
      </c>
      <c r="H48" s="7" t="n">
        <v>-82.2</v>
      </c>
      <c r="I48" s="7" t="n">
        <v>-87.7</v>
      </c>
      <c r="J48" s="7" t="n">
        <v>-79.7</v>
      </c>
      <c r="K48" s="2" t="n">
        <v>0</v>
      </c>
      <c r="L48" s="2" t="inlineStr">
        <is>
          <t>Madeira</t>
        </is>
      </c>
      <c r="M48" s="2" t="inlineStr">
        <is>
          <t>taxa reduzida por distancia/altura/suporte.</t>
        </is>
      </c>
    </row>
    <row r="49" ht="30" customHeight="1">
      <c r="A49" s="2" t="n">
        <v>150</v>
      </c>
      <c r="B49" s="2" t="n">
        <v>160</v>
      </c>
      <c r="C49" s="7" t="n">
        <v>4</v>
      </c>
      <c r="D49" s="2" t="inlineStr">
        <is>
          <t>TAG160</t>
        </is>
      </c>
      <c r="E49" s="2" t="n">
        <v>30</v>
      </c>
      <c r="F49" s="2" t="n">
        <v>1</v>
      </c>
      <c r="G49" s="7">
        <f>IF(E49&gt;0,F49/E49*100,"")</f>
        <v/>
      </c>
      <c r="H49" s="7" t="n">
        <v>-89.40000000000001</v>
      </c>
      <c r="I49" s="7" t="n">
        <v>-94.90000000000001</v>
      </c>
      <c r="J49" s="7" t="n">
        <v>-86.90000000000001</v>
      </c>
      <c r="K49" s="2" t="n">
        <v>0</v>
      </c>
      <c r="L49" s="2" t="inlineStr">
        <is>
          <t>Madeira</t>
        </is>
      </c>
      <c r="M49" s="2" t="inlineStr">
        <is>
          <t>taxa reduzida por distancia/altura/suporte.</t>
        </is>
      </c>
    </row>
    <row r="50">
      <c r="A50" s="2" t="n">
        <v>150</v>
      </c>
      <c r="B50" s="2" t="n">
        <v>170</v>
      </c>
      <c r="C50" s="7" t="n">
        <v>0.5</v>
      </c>
      <c r="D50" s="2" t="inlineStr">
        <is>
          <t>TAG170</t>
        </is>
      </c>
      <c r="E50" s="2" t="n">
        <v>30</v>
      </c>
      <c r="F50" s="2" t="n">
        <v>28</v>
      </c>
      <c r="G50" s="7">
        <f>IF(E50&gt;0,F50/E50*100,"")</f>
        <v/>
      </c>
      <c r="H50" s="7" t="n">
        <v>-46.6</v>
      </c>
      <c r="I50" s="7" t="n">
        <v>-50.1</v>
      </c>
      <c r="J50" s="7" t="n">
        <v>-44.1</v>
      </c>
      <c r="K50" s="2" t="n">
        <v>0</v>
      </c>
      <c r="L50" s="2" t="inlineStr">
        <is>
          <t>Metal com espacador</t>
        </is>
      </c>
      <c r="M50" s="2" t="inlineStr">
        <is>
          <t>leitura repetivel no criterio de 90%.</t>
        </is>
      </c>
    </row>
    <row r="51">
      <c r="A51" s="2" t="n">
        <v>150</v>
      </c>
      <c r="B51" s="2" t="n">
        <v>170</v>
      </c>
      <c r="C51" s="7" t="n">
        <v>1</v>
      </c>
      <c r="D51" s="2" t="inlineStr">
        <is>
          <t>TAG170</t>
        </is>
      </c>
      <c r="E51" s="2" t="n">
        <v>30</v>
      </c>
      <c r="F51" s="2" t="n">
        <v>29</v>
      </c>
      <c r="G51" s="7">
        <f>IF(E51&gt;0,F51/E51*100,"")</f>
        <v/>
      </c>
      <c r="H51" s="7" t="n">
        <v>-54</v>
      </c>
      <c r="I51" s="7" t="n">
        <v>-57.5</v>
      </c>
      <c r="J51" s="7" t="n">
        <v>-51.5</v>
      </c>
      <c r="K51" s="2" t="n">
        <v>0</v>
      </c>
      <c r="L51" s="2" t="inlineStr">
        <is>
          <t>Metal com espacador</t>
        </is>
      </c>
      <c r="M51" s="2" t="inlineStr">
        <is>
          <t>leitura repetivel no criterio de 90%.</t>
        </is>
      </c>
    </row>
    <row r="52" ht="30" customHeight="1">
      <c r="A52" s="2" t="n">
        <v>150</v>
      </c>
      <c r="B52" s="2" t="n">
        <v>170</v>
      </c>
      <c r="C52" s="7" t="n">
        <v>1.5</v>
      </c>
      <c r="D52" s="2" t="inlineStr">
        <is>
          <t>TAG170</t>
        </is>
      </c>
      <c r="E52" s="2" t="n">
        <v>30</v>
      </c>
      <c r="F52" s="2" t="n">
        <v>26</v>
      </c>
      <c r="G52" s="7">
        <f>IF(E52&gt;0,F52/E52*100,"")</f>
        <v/>
      </c>
      <c r="H52" s="7" t="n">
        <v>-63.2</v>
      </c>
      <c r="I52" s="7" t="n">
        <v>-66.7</v>
      </c>
      <c r="J52" s="7" t="n">
        <v>-60.7</v>
      </c>
      <c r="K52" s="2" t="n">
        <v>0</v>
      </c>
      <c r="L52" s="2" t="inlineStr">
        <is>
          <t>Metal com espacador</t>
        </is>
      </c>
      <c r="M52" s="2" t="inlineStr">
        <is>
          <t>taxa reduzida por distancia/altura/suporte.</t>
        </is>
      </c>
    </row>
    <row r="53" ht="30" customHeight="1">
      <c r="A53" s="2" t="n">
        <v>150</v>
      </c>
      <c r="B53" s="2" t="n">
        <v>170</v>
      </c>
      <c r="C53" s="7" t="n">
        <v>2</v>
      </c>
      <c r="D53" s="2" t="inlineStr">
        <is>
          <t>TAG170</t>
        </is>
      </c>
      <c r="E53" s="2" t="n">
        <v>30</v>
      </c>
      <c r="F53" s="2" t="n">
        <v>25</v>
      </c>
      <c r="G53" s="7">
        <f>IF(E53&gt;0,F53/E53*100,"")</f>
        <v/>
      </c>
      <c r="H53" s="7" t="n">
        <v>-68.59999999999999</v>
      </c>
      <c r="I53" s="7" t="n">
        <v>-72.09999999999999</v>
      </c>
      <c r="J53" s="7" t="n">
        <v>-66.09999999999999</v>
      </c>
      <c r="K53" s="2" t="n">
        <v>0</v>
      </c>
      <c r="L53" s="2" t="inlineStr">
        <is>
          <t>Metal com espacador</t>
        </is>
      </c>
      <c r="M53" s="2" t="inlineStr">
        <is>
          <t>taxa reduzida por distancia/altura/suporte.</t>
        </is>
      </c>
    </row>
    <row r="54" ht="30" customHeight="1">
      <c r="A54" s="2" t="n">
        <v>150</v>
      </c>
      <c r="B54" s="2" t="n">
        <v>170</v>
      </c>
      <c r="C54" s="7" t="n">
        <v>2.5</v>
      </c>
      <c r="D54" s="2" t="inlineStr">
        <is>
          <t>TAG170</t>
        </is>
      </c>
      <c r="E54" s="2" t="n">
        <v>30</v>
      </c>
      <c r="F54" s="2" t="n">
        <v>22</v>
      </c>
      <c r="G54" s="7">
        <f>IF(E54&gt;0,F54/E54*100,"")</f>
        <v/>
      </c>
      <c r="H54" s="7" t="n">
        <v>-74</v>
      </c>
      <c r="I54" s="7" t="n">
        <v>-77.5</v>
      </c>
      <c r="J54" s="7" t="n">
        <v>-71.5</v>
      </c>
      <c r="K54" s="2" t="n">
        <v>0</v>
      </c>
      <c r="L54" s="2" t="inlineStr">
        <is>
          <t>Metal com espacador</t>
        </is>
      </c>
      <c r="M54" s="2" t="inlineStr">
        <is>
          <t>taxa reduzida por distancia/altura/suporte.</t>
        </is>
      </c>
    </row>
    <row r="55" ht="30" customHeight="1">
      <c r="A55" s="2" t="n">
        <v>150</v>
      </c>
      <c r="B55" s="2" t="n">
        <v>170</v>
      </c>
      <c r="C55" s="7" t="n">
        <v>3</v>
      </c>
      <c r="D55" s="2" t="inlineStr">
        <is>
          <t>TAG170</t>
        </is>
      </c>
      <c r="E55" s="2" t="n">
        <v>30</v>
      </c>
      <c r="F55" s="2" t="n">
        <v>14</v>
      </c>
      <c r="G55" s="7">
        <f>IF(E55&gt;0,F55/E55*100,"")</f>
        <v/>
      </c>
      <c r="H55" s="7" t="n">
        <v>-81.2</v>
      </c>
      <c r="I55" s="7" t="n">
        <v>-84.7</v>
      </c>
      <c r="J55" s="7" t="n">
        <v>-78.7</v>
      </c>
      <c r="K55" s="2" t="n">
        <v>0</v>
      </c>
      <c r="L55" s="2" t="inlineStr">
        <is>
          <t>Metal com espacador</t>
        </is>
      </c>
      <c r="M55" s="2" t="inlineStr">
        <is>
          <t>taxa reduzida por distancia/altura/suporte.</t>
        </is>
      </c>
    </row>
    <row r="56" ht="30" customHeight="1">
      <c r="A56" s="2" t="n">
        <v>150</v>
      </c>
      <c r="B56" s="2" t="n">
        <v>170</v>
      </c>
      <c r="C56" s="7" t="n">
        <v>3.5</v>
      </c>
      <c r="D56" s="2" t="inlineStr">
        <is>
          <t>TAG170</t>
        </is>
      </c>
      <c r="E56" s="2" t="n">
        <v>30</v>
      </c>
      <c r="F56" s="2" t="n">
        <v>6</v>
      </c>
      <c r="G56" s="7">
        <f>IF(E56&gt;0,F56/E56*100,"")</f>
        <v/>
      </c>
      <c r="H56" s="7" t="n">
        <v>-86.59999999999999</v>
      </c>
      <c r="I56" s="7" t="n">
        <v>-92.09999999999999</v>
      </c>
      <c r="J56" s="7" t="n">
        <v>-84.09999999999999</v>
      </c>
      <c r="K56" s="2" t="n">
        <v>0</v>
      </c>
      <c r="L56" s="2" t="inlineStr">
        <is>
          <t>Metal com espacador</t>
        </is>
      </c>
      <c r="M56" s="2" t="inlineStr">
        <is>
          <t>taxa reduzida por distancia/altura/suporte.</t>
        </is>
      </c>
    </row>
    <row r="57" ht="30" customHeight="1">
      <c r="A57" s="2" t="n">
        <v>150</v>
      </c>
      <c r="B57" s="2" t="n">
        <v>170</v>
      </c>
      <c r="C57" s="7" t="n">
        <v>4</v>
      </c>
      <c r="D57" s="2" t="inlineStr">
        <is>
          <t>TAG170</t>
        </is>
      </c>
      <c r="E57" s="2" t="n">
        <v>30</v>
      </c>
      <c r="F57" s="2" t="n">
        <v>1</v>
      </c>
      <c r="G57" s="7">
        <f>IF(E57&gt;0,F57/E57*100,"")</f>
        <v/>
      </c>
      <c r="H57" s="7" t="n">
        <v>-92</v>
      </c>
      <c r="I57" s="7" t="n">
        <v>-97.5</v>
      </c>
      <c r="J57" s="7" t="n">
        <v>-89.5</v>
      </c>
      <c r="K57" s="2" t="n">
        <v>0</v>
      </c>
      <c r="L57" s="2" t="inlineStr">
        <is>
          <t>Metal com espacador</t>
        </is>
      </c>
      <c r="M57" s="2" t="inlineStr">
        <is>
          <t>taxa reduzida por distancia/altura/suporte.</t>
        </is>
      </c>
    </row>
    <row r="58">
      <c r="A58" s="2" t="n">
        <v>150</v>
      </c>
      <c r="B58" s="2" t="n">
        <v>180</v>
      </c>
      <c r="C58" s="7" t="n">
        <v>0.5</v>
      </c>
      <c r="D58" s="2" t="inlineStr">
        <is>
          <t>TAG180</t>
        </is>
      </c>
      <c r="E58" s="2" t="n">
        <v>30</v>
      </c>
      <c r="F58" s="2" t="n">
        <v>28</v>
      </c>
      <c r="G58" s="7">
        <f>IF(E58&gt;0,F58/E58*100,"")</f>
        <v/>
      </c>
      <c r="H58" s="7" t="n">
        <v>-44.8</v>
      </c>
      <c r="I58" s="7" t="n">
        <v>-48.3</v>
      </c>
      <c r="J58" s="7" t="n">
        <v>-42.3</v>
      </c>
      <c r="K58" s="2" t="n">
        <v>0</v>
      </c>
      <c r="L58" s="2" t="inlineStr">
        <is>
          <t>Madeira</t>
        </is>
      </c>
      <c r="M58" s="2" t="inlineStr">
        <is>
          <t>leitura repetivel no criterio de 90%.</t>
        </is>
      </c>
    </row>
    <row r="59">
      <c r="A59" s="2" t="n">
        <v>150</v>
      </c>
      <c r="B59" s="2" t="n">
        <v>180</v>
      </c>
      <c r="C59" s="7" t="n">
        <v>1</v>
      </c>
      <c r="D59" s="2" t="inlineStr">
        <is>
          <t>TAG180</t>
        </is>
      </c>
      <c r="E59" s="2" t="n">
        <v>30</v>
      </c>
      <c r="F59" s="2" t="n">
        <v>29</v>
      </c>
      <c r="G59" s="7">
        <f>IF(E59&gt;0,F59/E59*100,"")</f>
        <v/>
      </c>
      <c r="H59" s="7" t="n">
        <v>-52.2</v>
      </c>
      <c r="I59" s="7" t="n">
        <v>-55.7</v>
      </c>
      <c r="J59" s="7" t="n">
        <v>-49.7</v>
      </c>
      <c r="K59" s="2" t="n">
        <v>0</v>
      </c>
      <c r="L59" s="2" t="inlineStr">
        <is>
          <t>Madeira</t>
        </is>
      </c>
      <c r="M59" s="2" t="inlineStr">
        <is>
          <t>leitura repetivel no criterio de 90%.</t>
        </is>
      </c>
    </row>
    <row r="60">
      <c r="A60" s="2" t="n">
        <v>150</v>
      </c>
      <c r="B60" s="2" t="n">
        <v>180</v>
      </c>
      <c r="C60" s="7" t="n">
        <v>1.5</v>
      </c>
      <c r="D60" s="2" t="inlineStr">
        <is>
          <t>TAG180</t>
        </is>
      </c>
      <c r="E60" s="2" t="n">
        <v>30</v>
      </c>
      <c r="F60" s="2" t="n">
        <v>29</v>
      </c>
      <c r="G60" s="7">
        <f>IF(E60&gt;0,F60/E60*100,"")</f>
        <v/>
      </c>
      <c r="H60" s="7" t="n">
        <v>-59.6</v>
      </c>
      <c r="I60" s="7" t="n">
        <v>-63.1</v>
      </c>
      <c r="J60" s="7" t="n">
        <v>-57.1</v>
      </c>
      <c r="K60" s="2" t="n">
        <v>0</v>
      </c>
      <c r="L60" s="2" t="inlineStr">
        <is>
          <t>Madeira</t>
        </is>
      </c>
      <c r="M60" s="2" t="inlineStr">
        <is>
          <t>leitura repetivel no criterio de 90%.</t>
        </is>
      </c>
    </row>
    <row r="61" ht="30" customHeight="1">
      <c r="A61" s="2" t="n">
        <v>150</v>
      </c>
      <c r="B61" s="2" t="n">
        <v>180</v>
      </c>
      <c r="C61" s="7" t="n">
        <v>2</v>
      </c>
      <c r="D61" s="2" t="inlineStr">
        <is>
          <t>TAG180</t>
        </is>
      </c>
      <c r="E61" s="2" t="n">
        <v>30</v>
      </c>
      <c r="F61" s="2" t="n">
        <v>25</v>
      </c>
      <c r="G61" s="7">
        <f>IF(E61&gt;0,F61/E61*100,"")</f>
        <v/>
      </c>
      <c r="H61" s="7" t="n">
        <v>-66.8</v>
      </c>
      <c r="I61" s="7" t="n">
        <v>-70.3</v>
      </c>
      <c r="J61" s="7" t="n">
        <v>-64.3</v>
      </c>
      <c r="K61" s="2" t="n">
        <v>0</v>
      </c>
      <c r="L61" s="2" t="inlineStr">
        <is>
          <t>Madeira</t>
        </is>
      </c>
      <c r="M61" s="2" t="inlineStr">
        <is>
          <t>taxa reduzida por distancia/altura/suporte.</t>
        </is>
      </c>
    </row>
    <row r="62" ht="30" customHeight="1">
      <c r="A62" s="2" t="n">
        <v>150</v>
      </c>
      <c r="B62" s="2" t="n">
        <v>180</v>
      </c>
      <c r="C62" s="7" t="n">
        <v>2.5</v>
      </c>
      <c r="D62" s="2" t="inlineStr">
        <is>
          <t>TAG180</t>
        </is>
      </c>
      <c r="E62" s="2" t="n">
        <v>30</v>
      </c>
      <c r="F62" s="2" t="n">
        <v>22</v>
      </c>
      <c r="G62" s="7">
        <f>IF(E62&gt;0,F62/E62*100,"")</f>
        <v/>
      </c>
      <c r="H62" s="7" t="n">
        <v>-72.2</v>
      </c>
      <c r="I62" s="7" t="n">
        <v>-75.7</v>
      </c>
      <c r="J62" s="7" t="n">
        <v>-69.7</v>
      </c>
      <c r="K62" s="2" t="n">
        <v>0</v>
      </c>
      <c r="L62" s="2" t="inlineStr">
        <is>
          <t>Madeira</t>
        </is>
      </c>
      <c r="M62" s="2" t="inlineStr">
        <is>
          <t>taxa reduzida por distancia/altura/suporte.</t>
        </is>
      </c>
    </row>
    <row r="63" ht="30" customHeight="1">
      <c r="A63" s="2" t="n">
        <v>150</v>
      </c>
      <c r="B63" s="2" t="n">
        <v>180</v>
      </c>
      <c r="C63" s="7" t="n">
        <v>3</v>
      </c>
      <c r="D63" s="2" t="inlineStr">
        <is>
          <t>TAG180</t>
        </is>
      </c>
      <c r="E63" s="2" t="n">
        <v>30</v>
      </c>
      <c r="F63" s="2" t="n">
        <v>17</v>
      </c>
      <c r="G63" s="7">
        <f>IF(E63&gt;0,F63/E63*100,"")</f>
        <v/>
      </c>
      <c r="H63" s="7" t="n">
        <v>-77.59999999999999</v>
      </c>
      <c r="I63" s="7" t="n">
        <v>-81.09999999999999</v>
      </c>
      <c r="J63" s="7" t="n">
        <v>-75.09999999999999</v>
      </c>
      <c r="K63" s="2" t="n">
        <v>0</v>
      </c>
      <c r="L63" s="2" t="inlineStr">
        <is>
          <t>Madeira</t>
        </is>
      </c>
      <c r="M63" s="2" t="inlineStr">
        <is>
          <t>taxa reduzida por distancia/altura/suporte.</t>
        </is>
      </c>
    </row>
    <row r="64" ht="30" customHeight="1">
      <c r="A64" s="2" t="n">
        <v>150</v>
      </c>
      <c r="B64" s="2" t="n">
        <v>180</v>
      </c>
      <c r="C64" s="7" t="n">
        <v>3.5</v>
      </c>
      <c r="D64" s="2" t="inlineStr">
        <is>
          <t>TAG180</t>
        </is>
      </c>
      <c r="E64" s="2" t="n">
        <v>30</v>
      </c>
      <c r="F64" s="2" t="n">
        <v>6</v>
      </c>
      <c r="G64" s="7">
        <f>IF(E64&gt;0,F64/E64*100,"")</f>
        <v/>
      </c>
      <c r="H64" s="7" t="n">
        <v>-84.8</v>
      </c>
      <c r="I64" s="7" t="n">
        <v>-90.3</v>
      </c>
      <c r="J64" s="7" t="n">
        <v>-82.3</v>
      </c>
      <c r="K64" s="2" t="n">
        <v>0</v>
      </c>
      <c r="L64" s="2" t="inlineStr">
        <is>
          <t>Madeira</t>
        </is>
      </c>
      <c r="M64" s="2" t="inlineStr">
        <is>
          <t>taxa reduzida por distancia/altura/suporte.</t>
        </is>
      </c>
    </row>
    <row r="65" ht="30" customHeight="1">
      <c r="A65" s="2" t="n">
        <v>150</v>
      </c>
      <c r="B65" s="2" t="n">
        <v>180</v>
      </c>
      <c r="C65" s="7" t="n">
        <v>4</v>
      </c>
      <c r="D65" s="2" t="inlineStr">
        <is>
          <t>TAG180</t>
        </is>
      </c>
      <c r="E65" s="2" t="n">
        <v>30</v>
      </c>
      <c r="F65" s="2" t="n">
        <v>1</v>
      </c>
      <c r="G65" s="7">
        <f>IF(E65&gt;0,F65/E65*100,"")</f>
        <v/>
      </c>
      <c r="H65" s="7" t="n">
        <v>-90.2</v>
      </c>
      <c r="I65" s="7" t="n">
        <v>-95.7</v>
      </c>
      <c r="J65" s="7" t="n">
        <v>-87.7</v>
      </c>
      <c r="K65" s="2" t="n">
        <v>0</v>
      </c>
      <c r="L65" s="2" t="inlineStr">
        <is>
          <t>Madeira</t>
        </is>
      </c>
      <c r="M65" s="2" t="inlineStr">
        <is>
          <t>taxa reduzida por distancia/altura/suporte.</t>
        </is>
      </c>
    </row>
    <row r="66">
      <c r="A66" s="2" t="n">
        <v>150</v>
      </c>
      <c r="B66" s="2" t="n">
        <v>190</v>
      </c>
      <c r="C66" s="7" t="n">
        <v>0.5</v>
      </c>
      <c r="D66" s="2" t="inlineStr">
        <is>
          <t>TAG190</t>
        </is>
      </c>
      <c r="E66" s="2" t="n">
        <v>30</v>
      </c>
      <c r="F66" s="2" t="n">
        <v>29</v>
      </c>
      <c r="G66" s="7">
        <f>IF(E66&gt;0,F66/E66*100,"")</f>
        <v/>
      </c>
      <c r="H66" s="7" t="n">
        <v>-44.2</v>
      </c>
      <c r="I66" s="7" t="n">
        <v>-47.7</v>
      </c>
      <c r="J66" s="7" t="n">
        <v>-41.7</v>
      </c>
      <c r="K66" s="2" t="n">
        <v>0</v>
      </c>
      <c r="L66" s="2" t="inlineStr">
        <is>
          <t>Plastico</t>
        </is>
      </c>
      <c r="M66" s="2" t="inlineStr">
        <is>
          <t>leitura repetivel no criterio de 90%.</t>
        </is>
      </c>
    </row>
    <row r="67">
      <c r="A67" s="2" t="n">
        <v>150</v>
      </c>
      <c r="B67" s="2" t="n">
        <v>190</v>
      </c>
      <c r="C67" s="7" t="n">
        <v>1</v>
      </c>
      <c r="D67" s="2" t="inlineStr">
        <is>
          <t>TAG190</t>
        </is>
      </c>
      <c r="E67" s="2" t="n">
        <v>30</v>
      </c>
      <c r="F67" s="2" t="n">
        <v>27</v>
      </c>
      <c r="G67" s="7">
        <f>IF(E67&gt;0,F67/E67*100,"")</f>
        <v/>
      </c>
      <c r="H67" s="7" t="n">
        <v>-53.4</v>
      </c>
      <c r="I67" s="7" t="n">
        <v>-56.9</v>
      </c>
      <c r="J67" s="7" t="n">
        <v>-50.9</v>
      </c>
      <c r="K67" s="2" t="n">
        <v>0</v>
      </c>
      <c r="L67" s="2" t="inlineStr">
        <is>
          <t>Plastico</t>
        </is>
      </c>
      <c r="M67" s="2" t="inlineStr">
        <is>
          <t>leitura repetivel no criterio de 90%.</t>
        </is>
      </c>
    </row>
    <row r="68">
      <c r="A68" s="2" t="n">
        <v>150</v>
      </c>
      <c r="B68" s="2" t="n">
        <v>190</v>
      </c>
      <c r="C68" s="7" t="n">
        <v>1.5</v>
      </c>
      <c r="D68" s="2" t="inlineStr">
        <is>
          <t>TAG190</t>
        </is>
      </c>
      <c r="E68" s="2" t="n">
        <v>30</v>
      </c>
      <c r="F68" s="2" t="n">
        <v>27</v>
      </c>
      <c r="G68" s="7">
        <f>IF(E68&gt;0,F68/E68*100,"")</f>
        <v/>
      </c>
      <c r="H68" s="7" t="n">
        <v>-60.8</v>
      </c>
      <c r="I68" s="7" t="n">
        <v>-64.3</v>
      </c>
      <c r="J68" s="7" t="n">
        <v>-58.3</v>
      </c>
      <c r="K68" s="2" t="n">
        <v>0</v>
      </c>
      <c r="L68" s="2" t="inlineStr">
        <is>
          <t>Plastico</t>
        </is>
      </c>
      <c r="M68" s="2" t="inlineStr">
        <is>
          <t>leitura repetivel no criterio de 90%.</t>
        </is>
      </c>
    </row>
    <row r="69" ht="30" customHeight="1">
      <c r="A69" s="2" t="n">
        <v>150</v>
      </c>
      <c r="B69" s="2" t="n">
        <v>190</v>
      </c>
      <c r="C69" s="7" t="n">
        <v>2</v>
      </c>
      <c r="D69" s="2" t="inlineStr">
        <is>
          <t>TAG190</t>
        </is>
      </c>
      <c r="E69" s="2" t="n">
        <v>30</v>
      </c>
      <c r="F69" s="2" t="n">
        <v>26</v>
      </c>
      <c r="G69" s="7">
        <f>IF(E69&gt;0,F69/E69*100,"")</f>
        <v/>
      </c>
      <c r="H69" s="7" t="n">
        <v>-66.2</v>
      </c>
      <c r="I69" s="7" t="n">
        <v>-69.7</v>
      </c>
      <c r="J69" s="7" t="n">
        <v>-63.7</v>
      </c>
      <c r="K69" s="2" t="n">
        <v>0</v>
      </c>
      <c r="L69" s="2" t="inlineStr">
        <is>
          <t>Plastico</t>
        </is>
      </c>
      <c r="M69" s="2" t="inlineStr">
        <is>
          <t>taxa reduzida por distancia/altura/suporte.</t>
        </is>
      </c>
    </row>
    <row r="70" ht="30" customHeight="1">
      <c r="A70" s="2" t="n">
        <v>150</v>
      </c>
      <c r="B70" s="2" t="n">
        <v>190</v>
      </c>
      <c r="C70" s="7" t="n">
        <v>2.5</v>
      </c>
      <c r="D70" s="2" t="inlineStr">
        <is>
          <t>TAG190</t>
        </is>
      </c>
      <c r="E70" s="2" t="n">
        <v>30</v>
      </c>
      <c r="F70" s="2" t="n">
        <v>20</v>
      </c>
      <c r="G70" s="7">
        <f>IF(E70&gt;0,F70/E70*100,"")</f>
        <v/>
      </c>
      <c r="H70" s="7" t="n">
        <v>-73.40000000000001</v>
      </c>
      <c r="I70" s="7" t="n">
        <v>-76.90000000000001</v>
      </c>
      <c r="J70" s="7" t="n">
        <v>-70.90000000000001</v>
      </c>
      <c r="K70" s="2" t="n">
        <v>0</v>
      </c>
      <c r="L70" s="2" t="inlineStr">
        <is>
          <t>Plastico</t>
        </is>
      </c>
      <c r="M70" s="2" t="inlineStr">
        <is>
          <t>taxa reduzida por distancia/altura/suporte.</t>
        </is>
      </c>
    </row>
    <row r="71" ht="30" customHeight="1">
      <c r="A71" s="2" t="n">
        <v>150</v>
      </c>
      <c r="B71" s="2" t="n">
        <v>190</v>
      </c>
      <c r="C71" s="7" t="n">
        <v>3</v>
      </c>
      <c r="D71" s="2" t="inlineStr">
        <is>
          <t>TAG190</t>
        </is>
      </c>
      <c r="E71" s="2" t="n">
        <v>30</v>
      </c>
      <c r="F71" s="2" t="n">
        <v>15</v>
      </c>
      <c r="G71" s="7">
        <f>IF(E71&gt;0,F71/E71*100,"")</f>
        <v/>
      </c>
      <c r="H71" s="7" t="n">
        <v>-78.8</v>
      </c>
      <c r="I71" s="7" t="n">
        <v>-82.3</v>
      </c>
      <c r="J71" s="7" t="n">
        <v>-76.3</v>
      </c>
      <c r="K71" s="2" t="n">
        <v>0</v>
      </c>
      <c r="L71" s="2" t="inlineStr">
        <is>
          <t>Plastico</t>
        </is>
      </c>
      <c r="M71" s="2" t="inlineStr">
        <is>
          <t>taxa reduzida por distancia/altura/suporte.</t>
        </is>
      </c>
    </row>
    <row r="72" ht="30" customHeight="1">
      <c r="A72" s="2" t="n">
        <v>150</v>
      </c>
      <c r="B72" s="2" t="n">
        <v>190</v>
      </c>
      <c r="C72" s="7" t="n">
        <v>3.5</v>
      </c>
      <c r="D72" s="2" t="inlineStr">
        <is>
          <t>TAG190</t>
        </is>
      </c>
      <c r="E72" s="2" t="n">
        <v>30</v>
      </c>
      <c r="F72" s="2" t="n">
        <v>7</v>
      </c>
      <c r="G72" s="7">
        <f>IF(E72&gt;0,F72/E72*100,"")</f>
        <v/>
      </c>
      <c r="H72" s="7" t="n">
        <v>-84.2</v>
      </c>
      <c r="I72" s="7" t="n">
        <v>-89.7</v>
      </c>
      <c r="J72" s="7" t="n">
        <v>-81.7</v>
      </c>
      <c r="K72" s="2" t="n">
        <v>0</v>
      </c>
      <c r="L72" s="2" t="inlineStr">
        <is>
          <t>Plastico</t>
        </is>
      </c>
      <c r="M72" s="2" t="inlineStr">
        <is>
          <t>taxa reduzida por distancia/altura/suporte.</t>
        </is>
      </c>
    </row>
    <row r="73">
      <c r="A73" s="2" t="n">
        <v>150</v>
      </c>
      <c r="B73" s="2" t="n">
        <v>190</v>
      </c>
      <c r="C73" s="7" t="n">
        <v>4</v>
      </c>
      <c r="D73" s="2" t="inlineStr">
        <is>
          <t>TAG190</t>
        </is>
      </c>
      <c r="E73" s="2" t="n">
        <v>30</v>
      </c>
      <c r="F73" s="2" t="n">
        <v>0</v>
      </c>
      <c r="G73" s="7">
        <f>IF(E73&gt;0,F73/E73*100,"")</f>
        <v/>
      </c>
      <c r="H73" s="2" t="inlineStr"/>
      <c r="I73" s="2" t="inlineStr"/>
      <c r="J73" s="2" t="inlineStr"/>
      <c r="K73" s="2" t="n">
        <v>0</v>
      </c>
      <c r="L73" s="2" t="inlineStr">
        <is>
          <t>Plastico</t>
        </is>
      </c>
      <c r="M73" s="2" t="inlineStr">
        <is>
          <t>fora da faixa repetivel nesta configuracao.</t>
        </is>
      </c>
    </row>
    <row r="74">
      <c r="A74" s="2" t="n">
        <v>150</v>
      </c>
      <c r="B74" s="2" t="n">
        <v>200</v>
      </c>
      <c r="C74" s="7" t="n">
        <v>0.5</v>
      </c>
      <c r="D74" s="2" t="inlineStr">
        <is>
          <t>TAG200</t>
        </is>
      </c>
      <c r="E74" s="2" t="n">
        <v>30</v>
      </c>
      <c r="F74" s="2" t="n">
        <v>27</v>
      </c>
      <c r="G74" s="7">
        <f>IF(E74&gt;0,F74/E74*100,"")</f>
        <v/>
      </c>
      <c r="H74" s="7" t="n">
        <v>-48</v>
      </c>
      <c r="I74" s="7" t="n">
        <v>-51.5</v>
      </c>
      <c r="J74" s="7" t="n">
        <v>-45.5</v>
      </c>
      <c r="K74" s="2" t="n">
        <v>0</v>
      </c>
      <c r="L74" s="2" t="inlineStr">
        <is>
          <t>Metal com espacador</t>
        </is>
      </c>
      <c r="M74" s="2" t="inlineStr">
        <is>
          <t>leitura repetivel no criterio de 90%.</t>
        </is>
      </c>
    </row>
    <row r="75">
      <c r="A75" s="2" t="n">
        <v>150</v>
      </c>
      <c r="B75" s="2" t="n">
        <v>200</v>
      </c>
      <c r="C75" s="7" t="n">
        <v>1</v>
      </c>
      <c r="D75" s="2" t="inlineStr">
        <is>
          <t>TAG200</t>
        </is>
      </c>
      <c r="E75" s="2" t="n">
        <v>30</v>
      </c>
      <c r="F75" s="2" t="n">
        <v>28</v>
      </c>
      <c r="G75" s="7">
        <f>IF(E75&gt;0,F75/E75*100,"")</f>
        <v/>
      </c>
      <c r="H75" s="7" t="n">
        <v>-55.4</v>
      </c>
      <c r="I75" s="7" t="n">
        <v>-58.9</v>
      </c>
      <c r="J75" s="7" t="n">
        <v>-52.9</v>
      </c>
      <c r="K75" s="2" t="n">
        <v>0</v>
      </c>
      <c r="L75" s="2" t="inlineStr">
        <is>
          <t>Metal com espacador</t>
        </is>
      </c>
      <c r="M75" s="2" t="inlineStr">
        <is>
          <t>leitura repetivel no criterio de 90%.</t>
        </is>
      </c>
    </row>
    <row r="76" ht="30" customHeight="1">
      <c r="A76" s="2" t="n">
        <v>150</v>
      </c>
      <c r="B76" s="2" t="n">
        <v>200</v>
      </c>
      <c r="C76" s="7" t="n">
        <v>1.5</v>
      </c>
      <c r="D76" s="2" t="inlineStr">
        <is>
          <t>TAG200</t>
        </is>
      </c>
      <c r="E76" s="2" t="n">
        <v>30</v>
      </c>
      <c r="F76" s="2" t="n">
        <v>25</v>
      </c>
      <c r="G76" s="7">
        <f>IF(E76&gt;0,F76/E76*100,"")</f>
        <v/>
      </c>
      <c r="H76" s="7" t="n">
        <v>-64.59999999999999</v>
      </c>
      <c r="I76" s="7" t="n">
        <v>-68.09999999999999</v>
      </c>
      <c r="J76" s="7" t="n">
        <v>-62.1</v>
      </c>
      <c r="K76" s="2" t="n">
        <v>0</v>
      </c>
      <c r="L76" s="2" t="inlineStr">
        <is>
          <t>Metal com espacador</t>
        </is>
      </c>
      <c r="M76" s="2" t="inlineStr">
        <is>
          <t>taxa reduzida por distancia/altura/suporte.</t>
        </is>
      </c>
    </row>
    <row r="77" ht="30" customHeight="1">
      <c r="A77" s="2" t="n">
        <v>150</v>
      </c>
      <c r="B77" s="2" t="n">
        <v>200</v>
      </c>
      <c r="C77" s="7" t="n">
        <v>2</v>
      </c>
      <c r="D77" s="2" t="inlineStr">
        <is>
          <t>TAG200</t>
        </is>
      </c>
      <c r="E77" s="2" t="n">
        <v>30</v>
      </c>
      <c r="F77" s="2" t="n">
        <v>24</v>
      </c>
      <c r="G77" s="7">
        <f>IF(E77&gt;0,F77/E77*100,"")</f>
        <v/>
      </c>
      <c r="H77" s="7" t="n">
        <v>-70</v>
      </c>
      <c r="I77" s="7" t="n">
        <v>-73.5</v>
      </c>
      <c r="J77" s="7" t="n">
        <v>-67.5</v>
      </c>
      <c r="K77" s="2" t="n">
        <v>0</v>
      </c>
      <c r="L77" s="2" t="inlineStr">
        <is>
          <t>Metal com espacador</t>
        </is>
      </c>
      <c r="M77" s="2" t="inlineStr">
        <is>
          <t>taxa reduzida por distancia/altura/suporte.</t>
        </is>
      </c>
    </row>
    <row r="78" ht="30" customHeight="1">
      <c r="A78" s="2" t="n">
        <v>150</v>
      </c>
      <c r="B78" s="2" t="n">
        <v>200</v>
      </c>
      <c r="C78" s="7" t="n">
        <v>2.5</v>
      </c>
      <c r="D78" s="2" t="inlineStr">
        <is>
          <t>TAG200</t>
        </is>
      </c>
      <c r="E78" s="2" t="n">
        <v>30</v>
      </c>
      <c r="F78" s="2" t="n">
        <v>21</v>
      </c>
      <c r="G78" s="7">
        <f>IF(E78&gt;0,F78/E78*100,"")</f>
        <v/>
      </c>
      <c r="H78" s="7" t="n">
        <v>-75.40000000000001</v>
      </c>
      <c r="I78" s="7" t="n">
        <v>-78.90000000000001</v>
      </c>
      <c r="J78" s="7" t="n">
        <v>-72.90000000000001</v>
      </c>
      <c r="K78" s="2" t="n">
        <v>0</v>
      </c>
      <c r="L78" s="2" t="inlineStr">
        <is>
          <t>Metal com espacador</t>
        </is>
      </c>
      <c r="M78" s="2" t="inlineStr">
        <is>
          <t>taxa reduzida por distancia/altura/suporte.</t>
        </is>
      </c>
    </row>
    <row r="79" ht="30" customHeight="1">
      <c r="A79" s="2" t="n">
        <v>150</v>
      </c>
      <c r="B79" s="2" t="n">
        <v>200</v>
      </c>
      <c r="C79" s="7" t="n">
        <v>3</v>
      </c>
      <c r="D79" s="2" t="inlineStr">
        <is>
          <t>TAG200</t>
        </is>
      </c>
      <c r="E79" s="2" t="n">
        <v>30</v>
      </c>
      <c r="F79" s="2" t="n">
        <v>13</v>
      </c>
      <c r="G79" s="7">
        <f>IF(E79&gt;0,F79/E79*100,"")</f>
        <v/>
      </c>
      <c r="H79" s="7" t="n">
        <v>-82.59999999999999</v>
      </c>
      <c r="I79" s="7" t="n">
        <v>-86.09999999999999</v>
      </c>
      <c r="J79" s="7" t="n">
        <v>-80.09999999999999</v>
      </c>
      <c r="K79" s="2" t="n">
        <v>0</v>
      </c>
      <c r="L79" s="2" t="inlineStr">
        <is>
          <t>Metal com espacador</t>
        </is>
      </c>
      <c r="M79" s="2" t="inlineStr">
        <is>
          <t>taxa reduzida por distancia/altura/suporte.</t>
        </is>
      </c>
    </row>
    <row r="80" ht="30" customHeight="1">
      <c r="A80" s="2" t="n">
        <v>150</v>
      </c>
      <c r="B80" s="2" t="n">
        <v>200</v>
      </c>
      <c r="C80" s="7" t="n">
        <v>3.5</v>
      </c>
      <c r="D80" s="2" t="inlineStr">
        <is>
          <t>TAG200</t>
        </is>
      </c>
      <c r="E80" s="2" t="n">
        <v>30</v>
      </c>
      <c r="F80" s="2" t="n">
        <v>5</v>
      </c>
      <c r="G80" s="7">
        <f>IF(E80&gt;0,F80/E80*100,"")</f>
        <v/>
      </c>
      <c r="H80" s="7" t="n">
        <v>-88</v>
      </c>
      <c r="I80" s="7" t="n">
        <v>-93.5</v>
      </c>
      <c r="J80" s="7" t="n">
        <v>-85.5</v>
      </c>
      <c r="K80" s="2" t="n">
        <v>0</v>
      </c>
      <c r="L80" s="2" t="inlineStr">
        <is>
          <t>Metal com espacador</t>
        </is>
      </c>
      <c r="M80" s="2" t="inlineStr">
        <is>
          <t>taxa reduzida por distancia/altura/suporte.</t>
        </is>
      </c>
    </row>
    <row r="81">
      <c r="A81" s="2" t="n">
        <v>150</v>
      </c>
      <c r="B81" s="2" t="n">
        <v>200</v>
      </c>
      <c r="C81" s="7" t="n">
        <v>4</v>
      </c>
      <c r="D81" s="2" t="inlineStr">
        <is>
          <t>TAG200</t>
        </is>
      </c>
      <c r="E81" s="2" t="n">
        <v>30</v>
      </c>
      <c r="F81" s="2" t="n">
        <v>0</v>
      </c>
      <c r="G81" s="7">
        <f>IF(E81&gt;0,F81/E81*100,"")</f>
        <v/>
      </c>
      <c r="H81" s="2" t="inlineStr"/>
      <c r="I81" s="2" t="inlineStr"/>
      <c r="J81" s="2" t="inlineStr"/>
      <c r="K81" s="2" t="n">
        <v>0</v>
      </c>
      <c r="L81" s="2" t="inlineStr">
        <is>
          <t>Metal com espacador</t>
        </is>
      </c>
      <c r="M81" s="2" t="inlineStr">
        <is>
          <t>fora da faixa repetivel nesta configuracao.</t>
        </is>
      </c>
    </row>
    <row r="82">
      <c r="A82" s="2" t="n">
        <v>150</v>
      </c>
      <c r="B82" s="2" t="n">
        <v>210</v>
      </c>
      <c r="C82" s="7" t="n">
        <v>0.5</v>
      </c>
      <c r="D82" s="2" t="inlineStr">
        <is>
          <t>TAG210</t>
        </is>
      </c>
      <c r="E82" s="2" t="n">
        <v>30</v>
      </c>
      <c r="F82" s="2" t="n">
        <v>27</v>
      </c>
      <c r="G82" s="7">
        <f>IF(E82&gt;0,F82/E82*100,"")</f>
        <v/>
      </c>
      <c r="H82" s="7" t="n">
        <v>-45.4</v>
      </c>
      <c r="I82" s="7" t="n">
        <v>-48.9</v>
      </c>
      <c r="J82" s="7" t="n">
        <v>-42.9</v>
      </c>
      <c r="K82" s="2" t="n">
        <v>0</v>
      </c>
      <c r="L82" s="2" t="inlineStr">
        <is>
          <t>Plastico</t>
        </is>
      </c>
      <c r="M82" s="2" t="inlineStr">
        <is>
          <t>leitura repetivel no criterio de 90%.</t>
        </is>
      </c>
    </row>
    <row r="83">
      <c r="A83" s="2" t="n">
        <v>150</v>
      </c>
      <c r="B83" s="2" t="n">
        <v>210</v>
      </c>
      <c r="C83" s="7" t="n">
        <v>1</v>
      </c>
      <c r="D83" s="2" t="inlineStr">
        <is>
          <t>TAG210</t>
        </is>
      </c>
      <c r="E83" s="2" t="n">
        <v>30</v>
      </c>
      <c r="F83" s="2" t="n">
        <v>28</v>
      </c>
      <c r="G83" s="7">
        <f>IF(E83&gt;0,F83/E83*100,"")</f>
        <v/>
      </c>
      <c r="H83" s="7" t="n">
        <v>-52.8</v>
      </c>
      <c r="I83" s="7" t="n">
        <v>-56.3</v>
      </c>
      <c r="J83" s="7" t="n">
        <v>-50.3</v>
      </c>
      <c r="K83" s="2" t="n">
        <v>0</v>
      </c>
      <c r="L83" s="2" t="inlineStr">
        <is>
          <t>Plastico</t>
        </is>
      </c>
      <c r="M83" s="2" t="inlineStr">
        <is>
          <t>leitura repetivel no criterio de 90%.</t>
        </is>
      </c>
    </row>
    <row r="84">
      <c r="A84" s="2" t="n">
        <v>150</v>
      </c>
      <c r="B84" s="2" t="n">
        <v>210</v>
      </c>
      <c r="C84" s="7" t="n">
        <v>1.5</v>
      </c>
      <c r="D84" s="2" t="inlineStr">
        <is>
          <t>TAG210</t>
        </is>
      </c>
      <c r="E84" s="2" t="n">
        <v>30</v>
      </c>
      <c r="F84" s="2" t="n">
        <v>28</v>
      </c>
      <c r="G84" s="7">
        <f>IF(E84&gt;0,F84/E84*100,"")</f>
        <v/>
      </c>
      <c r="H84" s="7" t="n">
        <v>-60.2</v>
      </c>
      <c r="I84" s="7" t="n">
        <v>-63.7</v>
      </c>
      <c r="J84" s="7" t="n">
        <v>-57.7</v>
      </c>
      <c r="K84" s="2" t="n">
        <v>0</v>
      </c>
      <c r="L84" s="2" t="inlineStr">
        <is>
          <t>Plastico</t>
        </is>
      </c>
      <c r="M84" s="2" t="inlineStr">
        <is>
          <t>leitura repetivel no criterio de 90%.</t>
        </is>
      </c>
    </row>
    <row r="85" ht="30" customHeight="1">
      <c r="A85" s="2" t="n">
        <v>150</v>
      </c>
      <c r="B85" s="2" t="n">
        <v>210</v>
      </c>
      <c r="C85" s="7" t="n">
        <v>2</v>
      </c>
      <c r="D85" s="2" t="inlineStr">
        <is>
          <t>TAG210</t>
        </is>
      </c>
      <c r="E85" s="2" t="n">
        <v>30</v>
      </c>
      <c r="F85" s="2" t="n">
        <v>24</v>
      </c>
      <c r="G85" s="7">
        <f>IF(E85&gt;0,F85/E85*100,"")</f>
        <v/>
      </c>
      <c r="H85" s="7" t="n">
        <v>-67.40000000000001</v>
      </c>
      <c r="I85" s="7" t="n">
        <v>-70.90000000000001</v>
      </c>
      <c r="J85" s="7" t="n">
        <v>-64.90000000000001</v>
      </c>
      <c r="K85" s="2" t="n">
        <v>0</v>
      </c>
      <c r="L85" s="2" t="inlineStr">
        <is>
          <t>Plastico</t>
        </is>
      </c>
      <c r="M85" s="2" t="inlineStr">
        <is>
          <t>taxa reduzida por distancia/altura/suporte.</t>
        </is>
      </c>
    </row>
    <row r="86" ht="30" customHeight="1">
      <c r="A86" s="2" t="n">
        <v>150</v>
      </c>
      <c r="B86" s="2" t="n">
        <v>210</v>
      </c>
      <c r="C86" s="7" t="n">
        <v>2.5</v>
      </c>
      <c r="D86" s="2" t="inlineStr">
        <is>
          <t>TAG210</t>
        </is>
      </c>
      <c r="E86" s="2" t="n">
        <v>30</v>
      </c>
      <c r="F86" s="2" t="n">
        <v>21</v>
      </c>
      <c r="G86" s="7">
        <f>IF(E86&gt;0,F86/E86*100,"")</f>
        <v/>
      </c>
      <c r="H86" s="7" t="n">
        <v>-72.8</v>
      </c>
      <c r="I86" s="7" t="n">
        <v>-76.3</v>
      </c>
      <c r="J86" s="7" t="n">
        <v>-70.3</v>
      </c>
      <c r="K86" s="2" t="n">
        <v>0</v>
      </c>
      <c r="L86" s="2" t="inlineStr">
        <is>
          <t>Plastico</t>
        </is>
      </c>
      <c r="M86" s="2" t="inlineStr">
        <is>
          <t>taxa reduzida por distancia/altura/suporte.</t>
        </is>
      </c>
    </row>
    <row r="87" ht="30" customHeight="1">
      <c r="A87" s="2" t="n">
        <v>150</v>
      </c>
      <c r="B87" s="2" t="n">
        <v>210</v>
      </c>
      <c r="C87" s="7" t="n">
        <v>3</v>
      </c>
      <c r="D87" s="2" t="inlineStr">
        <is>
          <t>TAG210</t>
        </is>
      </c>
      <c r="E87" s="2" t="n">
        <v>30</v>
      </c>
      <c r="F87" s="2" t="n">
        <v>16</v>
      </c>
      <c r="G87" s="7">
        <f>IF(E87&gt;0,F87/E87*100,"")</f>
        <v/>
      </c>
      <c r="H87" s="7" t="n">
        <v>-78.2</v>
      </c>
      <c r="I87" s="7" t="n">
        <v>-81.7</v>
      </c>
      <c r="J87" s="7" t="n">
        <v>-75.7</v>
      </c>
      <c r="K87" s="2" t="n">
        <v>0</v>
      </c>
      <c r="L87" s="2" t="inlineStr">
        <is>
          <t>Plastico</t>
        </is>
      </c>
      <c r="M87" s="2" t="inlineStr">
        <is>
          <t>taxa reduzida por distancia/altura/suporte.</t>
        </is>
      </c>
    </row>
    <row r="88" ht="30" customHeight="1">
      <c r="A88" s="2" t="n">
        <v>150</v>
      </c>
      <c r="B88" s="2" t="n">
        <v>210</v>
      </c>
      <c r="C88" s="7" t="n">
        <v>3.5</v>
      </c>
      <c r="D88" s="2" t="inlineStr">
        <is>
          <t>TAG210</t>
        </is>
      </c>
      <c r="E88" s="2" t="n">
        <v>30</v>
      </c>
      <c r="F88" s="2" t="n">
        <v>5</v>
      </c>
      <c r="G88" s="7">
        <f>IF(E88&gt;0,F88/E88*100,"")</f>
        <v/>
      </c>
      <c r="H88" s="7" t="n">
        <v>-85.40000000000001</v>
      </c>
      <c r="I88" s="7" t="n">
        <v>-90.90000000000001</v>
      </c>
      <c r="J88" s="7" t="n">
        <v>-82.90000000000001</v>
      </c>
      <c r="K88" s="2" t="n">
        <v>0</v>
      </c>
      <c r="L88" s="2" t="inlineStr">
        <is>
          <t>Plastico</t>
        </is>
      </c>
      <c r="M88" s="2" t="inlineStr">
        <is>
          <t>taxa reduzida por distancia/altura/suporte.</t>
        </is>
      </c>
    </row>
    <row r="89">
      <c r="A89" s="2" t="n">
        <v>150</v>
      </c>
      <c r="B89" s="2" t="n">
        <v>210</v>
      </c>
      <c r="C89" s="7" t="n">
        <v>4</v>
      </c>
      <c r="D89" s="2" t="inlineStr">
        <is>
          <t>TAG210</t>
        </is>
      </c>
      <c r="E89" s="2" t="n">
        <v>30</v>
      </c>
      <c r="F89" s="2" t="n">
        <v>0</v>
      </c>
      <c r="G89" s="7">
        <f>IF(E89&gt;0,F89/E89*100,"")</f>
        <v/>
      </c>
      <c r="H89" s="2" t="inlineStr"/>
      <c r="I89" s="2" t="inlineStr"/>
      <c r="J89" s="2" t="inlineStr"/>
      <c r="K89" s="2" t="n">
        <v>0</v>
      </c>
      <c r="L89" s="2" t="inlineStr">
        <is>
          <t>Plastico</t>
        </is>
      </c>
      <c r="M89" s="2" t="inlineStr">
        <is>
          <t>fora da faixa repetivel nesta configuracao.</t>
        </is>
      </c>
    </row>
    <row r="90">
      <c r="A90" s="2" t="n">
        <v>150</v>
      </c>
      <c r="B90" s="2" t="n">
        <v>220</v>
      </c>
      <c r="C90" s="7" t="n">
        <v>0.5</v>
      </c>
      <c r="D90" s="2" t="inlineStr">
        <is>
          <t>TAG220</t>
        </is>
      </c>
      <c r="E90" s="2" t="n">
        <v>30</v>
      </c>
      <c r="F90" s="2" t="n">
        <v>28</v>
      </c>
      <c r="G90" s="7">
        <f>IF(E90&gt;0,F90/E90*100,"")</f>
        <v/>
      </c>
      <c r="H90" s="7" t="n">
        <v>-45.6</v>
      </c>
      <c r="I90" s="7" t="n">
        <v>-49.1</v>
      </c>
      <c r="J90" s="7" t="n">
        <v>-43.1</v>
      </c>
      <c r="K90" s="2" t="n">
        <v>0</v>
      </c>
      <c r="L90" s="2" t="inlineStr">
        <is>
          <t>Papelao</t>
        </is>
      </c>
      <c r="M90" s="2" t="inlineStr">
        <is>
          <t>leitura repetivel no criterio de 90%.</t>
        </is>
      </c>
    </row>
    <row r="91" ht="30" customHeight="1">
      <c r="A91" s="2" t="n">
        <v>150</v>
      </c>
      <c r="B91" s="2" t="n">
        <v>220</v>
      </c>
      <c r="C91" s="7" t="n">
        <v>1</v>
      </c>
      <c r="D91" s="2" t="inlineStr">
        <is>
          <t>TAG220</t>
        </is>
      </c>
      <c r="E91" s="2" t="n">
        <v>30</v>
      </c>
      <c r="F91" s="2" t="n">
        <v>26</v>
      </c>
      <c r="G91" s="7">
        <f>IF(E91&gt;0,F91/E91*100,"")</f>
        <v/>
      </c>
      <c r="H91" s="7" t="n">
        <v>-54.8</v>
      </c>
      <c r="I91" s="7" t="n">
        <v>-58.3</v>
      </c>
      <c r="J91" s="7" t="n">
        <v>-52.3</v>
      </c>
      <c r="K91" s="2" t="n">
        <v>0</v>
      </c>
      <c r="L91" s="2" t="inlineStr">
        <is>
          <t>Papelao</t>
        </is>
      </c>
      <c r="M91" s="2" t="inlineStr">
        <is>
          <t>taxa reduzida por distancia/altura/suporte.</t>
        </is>
      </c>
    </row>
    <row r="92" ht="30" customHeight="1">
      <c r="A92" s="2" t="n">
        <v>150</v>
      </c>
      <c r="B92" s="2" t="n">
        <v>220</v>
      </c>
      <c r="C92" s="7" t="n">
        <v>1.5</v>
      </c>
      <c r="D92" s="2" t="inlineStr">
        <is>
          <t>TAG220</t>
        </is>
      </c>
      <c r="E92" s="2" t="n">
        <v>30</v>
      </c>
      <c r="F92" s="2" t="n">
        <v>26</v>
      </c>
      <c r="G92" s="7">
        <f>IF(E92&gt;0,F92/E92*100,"")</f>
        <v/>
      </c>
      <c r="H92" s="7" t="n">
        <v>-62.2</v>
      </c>
      <c r="I92" s="7" t="n">
        <v>-65.7</v>
      </c>
      <c r="J92" s="7" t="n">
        <v>-59.7</v>
      </c>
      <c r="K92" s="2" t="n">
        <v>0</v>
      </c>
      <c r="L92" s="2" t="inlineStr">
        <is>
          <t>Papelao</t>
        </is>
      </c>
      <c r="M92" s="2" t="inlineStr">
        <is>
          <t>taxa reduzida por distancia/altura/suporte.</t>
        </is>
      </c>
    </row>
    <row r="93" ht="30" customHeight="1">
      <c r="A93" s="2" t="n">
        <v>150</v>
      </c>
      <c r="B93" s="2" t="n">
        <v>220</v>
      </c>
      <c r="C93" s="7" t="n">
        <v>2</v>
      </c>
      <c r="D93" s="2" t="inlineStr">
        <is>
          <t>TAG220</t>
        </is>
      </c>
      <c r="E93" s="2" t="n">
        <v>30</v>
      </c>
      <c r="F93" s="2" t="n">
        <v>25</v>
      </c>
      <c r="G93" s="7">
        <f>IF(E93&gt;0,F93/E93*100,"")</f>
        <v/>
      </c>
      <c r="H93" s="7" t="n">
        <v>-67.59999999999999</v>
      </c>
      <c r="I93" s="7" t="n">
        <v>-71.09999999999999</v>
      </c>
      <c r="J93" s="7" t="n">
        <v>-65.09999999999999</v>
      </c>
      <c r="K93" s="2" t="n">
        <v>0</v>
      </c>
      <c r="L93" s="2" t="inlineStr">
        <is>
          <t>Papelao</t>
        </is>
      </c>
      <c r="M93" s="2" t="inlineStr">
        <is>
          <t>taxa reduzida por distancia/altura/suporte.</t>
        </is>
      </c>
    </row>
    <row r="94" ht="30" customHeight="1">
      <c r="A94" s="2" t="n">
        <v>150</v>
      </c>
      <c r="B94" s="2" t="n">
        <v>220</v>
      </c>
      <c r="C94" s="7" t="n">
        <v>2.5</v>
      </c>
      <c r="D94" s="2" t="inlineStr">
        <is>
          <t>TAG220</t>
        </is>
      </c>
      <c r="E94" s="2" t="n">
        <v>30</v>
      </c>
      <c r="F94" s="2" t="n">
        <v>19</v>
      </c>
      <c r="G94" s="7">
        <f>IF(E94&gt;0,F94/E94*100,"")</f>
        <v/>
      </c>
      <c r="H94" s="7" t="n">
        <v>-74.8</v>
      </c>
      <c r="I94" s="7" t="n">
        <v>-78.3</v>
      </c>
      <c r="J94" s="7" t="n">
        <v>-72.3</v>
      </c>
      <c r="K94" s="2" t="n">
        <v>0</v>
      </c>
      <c r="L94" s="2" t="inlineStr">
        <is>
          <t>Papelao</t>
        </is>
      </c>
      <c r="M94" s="2" t="inlineStr">
        <is>
          <t>taxa reduzida por distancia/altura/suporte.</t>
        </is>
      </c>
    </row>
    <row r="95" ht="30" customHeight="1">
      <c r="A95" s="2" t="n">
        <v>150</v>
      </c>
      <c r="B95" s="2" t="n">
        <v>220</v>
      </c>
      <c r="C95" s="7" t="n">
        <v>3</v>
      </c>
      <c r="D95" s="2" t="inlineStr">
        <is>
          <t>TAG220</t>
        </is>
      </c>
      <c r="E95" s="2" t="n">
        <v>30</v>
      </c>
      <c r="F95" s="2" t="n">
        <v>14</v>
      </c>
      <c r="G95" s="7">
        <f>IF(E95&gt;0,F95/E95*100,"")</f>
        <v/>
      </c>
      <c r="H95" s="7" t="n">
        <v>-80.2</v>
      </c>
      <c r="I95" s="7" t="n">
        <v>-83.7</v>
      </c>
      <c r="J95" s="7" t="n">
        <v>-77.7</v>
      </c>
      <c r="K95" s="2" t="n">
        <v>0</v>
      </c>
      <c r="L95" s="2" t="inlineStr">
        <is>
          <t>Papelao</t>
        </is>
      </c>
      <c r="M95" s="2" t="inlineStr">
        <is>
          <t>taxa reduzida por distancia/altura/suporte.</t>
        </is>
      </c>
    </row>
    <row r="96" ht="30" customHeight="1">
      <c r="A96" s="2" t="n">
        <v>150</v>
      </c>
      <c r="B96" s="2" t="n">
        <v>220</v>
      </c>
      <c r="C96" s="7" t="n">
        <v>3.5</v>
      </c>
      <c r="D96" s="2" t="inlineStr">
        <is>
          <t>TAG220</t>
        </is>
      </c>
      <c r="E96" s="2" t="n">
        <v>30</v>
      </c>
      <c r="F96" s="2" t="n">
        <v>6</v>
      </c>
      <c r="G96" s="7">
        <f>IF(E96&gt;0,F96/E96*100,"")</f>
        <v/>
      </c>
      <c r="H96" s="7" t="n">
        <v>-85.59999999999999</v>
      </c>
      <c r="I96" s="7" t="n">
        <v>-91.09999999999999</v>
      </c>
      <c r="J96" s="7" t="n">
        <v>-83.09999999999999</v>
      </c>
      <c r="K96" s="2" t="n">
        <v>0</v>
      </c>
      <c r="L96" s="2" t="inlineStr">
        <is>
          <t>Papelao</t>
        </is>
      </c>
      <c r="M96" s="2" t="inlineStr">
        <is>
          <t>taxa reduzida por distancia/altura/suporte.</t>
        </is>
      </c>
    </row>
    <row r="97">
      <c r="A97" s="2" t="n">
        <v>150</v>
      </c>
      <c r="B97" s="2" t="n">
        <v>220</v>
      </c>
      <c r="C97" s="7" t="n">
        <v>4</v>
      </c>
      <c r="D97" s="2" t="inlineStr">
        <is>
          <t>TAG220</t>
        </is>
      </c>
      <c r="E97" s="2" t="n">
        <v>30</v>
      </c>
      <c r="F97" s="2" t="n">
        <v>0</v>
      </c>
      <c r="G97" s="7">
        <f>IF(E97&gt;0,F97/E97*100,"")</f>
        <v/>
      </c>
      <c r="H97" s="2" t="inlineStr"/>
      <c r="I97" s="2" t="inlineStr"/>
      <c r="J97" s="2" t="inlineStr"/>
      <c r="K97" s="2" t="n">
        <v>0</v>
      </c>
      <c r="L97" s="2" t="inlineStr">
        <is>
          <t>Papelao</t>
        </is>
      </c>
      <c r="M97" s="2" t="inlineStr">
        <is>
          <t>fora da faixa repetivel nesta configuracao.</t>
        </is>
      </c>
    </row>
    <row r="98" ht="30" customHeight="1">
      <c r="A98" s="2" t="n">
        <v>150</v>
      </c>
      <c r="B98" s="2" t="n">
        <v>230</v>
      </c>
      <c r="C98" s="7" t="n">
        <v>0.5</v>
      </c>
      <c r="D98" s="2" t="inlineStr">
        <is>
          <t>TAG230</t>
        </is>
      </c>
      <c r="E98" s="2" t="n">
        <v>30</v>
      </c>
      <c r="F98" s="2" t="n">
        <v>26</v>
      </c>
      <c r="G98" s="7">
        <f>IF(E98&gt;0,F98/E98*100,"")</f>
        <v/>
      </c>
      <c r="H98" s="7" t="n">
        <v>-47.8</v>
      </c>
      <c r="I98" s="7" t="n">
        <v>-51.3</v>
      </c>
      <c r="J98" s="7" t="n">
        <v>-45.3</v>
      </c>
      <c r="K98" s="2" t="n">
        <v>0</v>
      </c>
      <c r="L98" s="2" t="inlineStr">
        <is>
          <t>Vidro</t>
        </is>
      </c>
      <c r="M98" s="2" t="inlineStr">
        <is>
          <t>taxa reduzida por distancia/altura/suporte.</t>
        </is>
      </c>
    </row>
    <row r="99">
      <c r="A99" s="2" t="n">
        <v>150</v>
      </c>
      <c r="B99" s="2" t="n">
        <v>230</v>
      </c>
      <c r="C99" s="7" t="n">
        <v>1</v>
      </c>
      <c r="D99" s="2" t="inlineStr">
        <is>
          <t>TAG230</t>
        </is>
      </c>
      <c r="E99" s="2" t="n">
        <v>30</v>
      </c>
      <c r="F99" s="2" t="n">
        <v>27</v>
      </c>
      <c r="G99" s="7">
        <f>IF(E99&gt;0,F99/E99*100,"")</f>
        <v/>
      </c>
      <c r="H99" s="7" t="n">
        <v>-55.2</v>
      </c>
      <c r="I99" s="7" t="n">
        <v>-58.7</v>
      </c>
      <c r="J99" s="7" t="n">
        <v>-52.7</v>
      </c>
      <c r="K99" s="2" t="n">
        <v>0</v>
      </c>
      <c r="L99" s="2" t="inlineStr">
        <is>
          <t>Vidro</t>
        </is>
      </c>
      <c r="M99" s="2" t="inlineStr">
        <is>
          <t>leitura repetivel no criterio de 90%.</t>
        </is>
      </c>
    </row>
    <row r="100" ht="30" customHeight="1">
      <c r="A100" s="2" t="n">
        <v>150</v>
      </c>
      <c r="B100" s="2" t="n">
        <v>230</v>
      </c>
      <c r="C100" s="7" t="n">
        <v>1.5</v>
      </c>
      <c r="D100" s="2" t="inlineStr">
        <is>
          <t>TAG230</t>
        </is>
      </c>
      <c r="E100" s="2" t="n">
        <v>30</v>
      </c>
      <c r="F100" s="2" t="n">
        <v>24</v>
      </c>
      <c r="G100" s="7">
        <f>IF(E100&gt;0,F100/E100*100,"")</f>
        <v/>
      </c>
      <c r="H100" s="7" t="n">
        <v>-64.40000000000001</v>
      </c>
      <c r="I100" s="7" t="n">
        <v>-67.90000000000001</v>
      </c>
      <c r="J100" s="7" t="n">
        <v>-61.9</v>
      </c>
      <c r="K100" s="2" t="n">
        <v>0</v>
      </c>
      <c r="L100" s="2" t="inlineStr">
        <is>
          <t>Vidro</t>
        </is>
      </c>
      <c r="M100" s="2" t="inlineStr">
        <is>
          <t>taxa reduzida por distancia/altura/suporte.</t>
        </is>
      </c>
    </row>
    <row r="101" ht="30" customHeight="1">
      <c r="A101" s="2" t="n">
        <v>150</v>
      </c>
      <c r="B101" s="2" t="n">
        <v>230</v>
      </c>
      <c r="C101" s="7" t="n">
        <v>2</v>
      </c>
      <c r="D101" s="2" t="inlineStr">
        <is>
          <t>TAG230</t>
        </is>
      </c>
      <c r="E101" s="2" t="n">
        <v>30</v>
      </c>
      <c r="F101" s="2" t="n">
        <v>23</v>
      </c>
      <c r="G101" s="7">
        <f>IF(E101&gt;0,F101/E101*100,"")</f>
        <v/>
      </c>
      <c r="H101" s="7" t="n">
        <v>-69.8</v>
      </c>
      <c r="I101" s="7" t="n">
        <v>-73.3</v>
      </c>
      <c r="J101" s="7" t="n">
        <v>-67.3</v>
      </c>
      <c r="K101" s="2" t="n">
        <v>0</v>
      </c>
      <c r="L101" s="2" t="inlineStr">
        <is>
          <t>Vidro</t>
        </is>
      </c>
      <c r="M101" s="2" t="inlineStr">
        <is>
          <t>taxa reduzida por distancia/altura/suporte.</t>
        </is>
      </c>
    </row>
    <row r="102" ht="30" customHeight="1">
      <c r="A102" s="2" t="n">
        <v>150</v>
      </c>
      <c r="B102" s="2" t="n">
        <v>230</v>
      </c>
      <c r="C102" s="7" t="n">
        <v>2.5</v>
      </c>
      <c r="D102" s="2" t="inlineStr">
        <is>
          <t>TAG230</t>
        </is>
      </c>
      <c r="E102" s="2" t="n">
        <v>30</v>
      </c>
      <c r="F102" s="2" t="n">
        <v>20</v>
      </c>
      <c r="G102" s="7">
        <f>IF(E102&gt;0,F102/E102*100,"")</f>
        <v/>
      </c>
      <c r="H102" s="7" t="n">
        <v>-75.2</v>
      </c>
      <c r="I102" s="7" t="n">
        <v>-78.7</v>
      </c>
      <c r="J102" s="7" t="n">
        <v>-72.7</v>
      </c>
      <c r="K102" s="2" t="n">
        <v>0</v>
      </c>
      <c r="L102" s="2" t="inlineStr">
        <is>
          <t>Vidro</t>
        </is>
      </c>
      <c r="M102" s="2" t="inlineStr">
        <is>
          <t>taxa reduzida por distancia/altura/suporte.</t>
        </is>
      </c>
    </row>
    <row r="103" ht="30" customHeight="1">
      <c r="A103" s="2" t="n">
        <v>150</v>
      </c>
      <c r="B103" s="2" t="n">
        <v>230</v>
      </c>
      <c r="C103" s="7" t="n">
        <v>3</v>
      </c>
      <c r="D103" s="2" t="inlineStr">
        <is>
          <t>TAG230</t>
        </is>
      </c>
      <c r="E103" s="2" t="n">
        <v>30</v>
      </c>
      <c r="F103" s="2" t="n">
        <v>12</v>
      </c>
      <c r="G103" s="7">
        <f>IF(E103&gt;0,F103/E103*100,"")</f>
        <v/>
      </c>
      <c r="H103" s="7" t="n">
        <v>-82.40000000000001</v>
      </c>
      <c r="I103" s="7" t="n">
        <v>-85.90000000000001</v>
      </c>
      <c r="J103" s="7" t="n">
        <v>-79.90000000000001</v>
      </c>
      <c r="K103" s="2" t="n">
        <v>0</v>
      </c>
      <c r="L103" s="2" t="inlineStr">
        <is>
          <t>Vidro</t>
        </is>
      </c>
      <c r="M103" s="2" t="inlineStr">
        <is>
          <t>taxa reduzida por distancia/altura/suporte.</t>
        </is>
      </c>
    </row>
    <row r="104" ht="30" customHeight="1">
      <c r="A104" s="2" t="n">
        <v>150</v>
      </c>
      <c r="B104" s="2" t="n">
        <v>230</v>
      </c>
      <c r="C104" s="7" t="n">
        <v>3.5</v>
      </c>
      <c r="D104" s="2" t="inlineStr">
        <is>
          <t>TAG230</t>
        </is>
      </c>
      <c r="E104" s="2" t="n">
        <v>30</v>
      </c>
      <c r="F104" s="2" t="n">
        <v>4</v>
      </c>
      <c r="G104" s="7">
        <f>IF(E104&gt;0,F104/E104*100,"")</f>
        <v/>
      </c>
      <c r="H104" s="7" t="n">
        <v>-87.8</v>
      </c>
      <c r="I104" s="7" t="n">
        <v>-93.3</v>
      </c>
      <c r="J104" s="7" t="n">
        <v>-85.3</v>
      </c>
      <c r="K104" s="2" t="n">
        <v>0</v>
      </c>
      <c r="L104" s="2" t="inlineStr">
        <is>
          <t>Vidro</t>
        </is>
      </c>
      <c r="M104" s="2" t="inlineStr">
        <is>
          <t>taxa reduzida por distancia/altura/suporte.</t>
        </is>
      </c>
    </row>
    <row r="105">
      <c r="A105" s="2" t="n">
        <v>150</v>
      </c>
      <c r="B105" s="2" t="n">
        <v>230</v>
      </c>
      <c r="C105" s="7" t="n">
        <v>4</v>
      </c>
      <c r="D105" s="2" t="inlineStr">
        <is>
          <t>TAG230</t>
        </is>
      </c>
      <c r="E105" s="2" t="n">
        <v>30</v>
      </c>
      <c r="F105" s="2" t="n">
        <v>0</v>
      </c>
      <c r="G105" s="7">
        <f>IF(E105&gt;0,F105/E105*100,"")</f>
        <v/>
      </c>
      <c r="H105" s="2" t="inlineStr"/>
      <c r="I105" s="2" t="inlineStr"/>
      <c r="J105" s="2" t="inlineStr"/>
      <c r="K105" s="2" t="n">
        <v>0</v>
      </c>
      <c r="L105" s="2" t="inlineStr">
        <is>
          <t>Vidro</t>
        </is>
      </c>
      <c r="M105" s="2" t="inlineStr">
        <is>
          <t>fora da faixa repetivel nesta configuracao.</t>
        </is>
      </c>
    </row>
    <row r="106" ht="30" customHeight="1">
      <c r="A106" s="2" t="n">
        <v>150</v>
      </c>
      <c r="B106" s="2" t="n">
        <v>240</v>
      </c>
      <c r="C106" s="7" t="n">
        <v>0.5</v>
      </c>
      <c r="D106" s="2" t="inlineStr">
        <is>
          <t>TAG240</t>
        </is>
      </c>
      <c r="E106" s="2" t="n">
        <v>30</v>
      </c>
      <c r="F106" s="2" t="n">
        <v>25</v>
      </c>
      <c r="G106" s="7">
        <f>IF(E106&gt;0,F106/E106*100,"")</f>
        <v/>
      </c>
      <c r="H106" s="7" t="n">
        <v>-49</v>
      </c>
      <c r="I106" s="7" t="n">
        <v>-52.5</v>
      </c>
      <c r="J106" s="7" t="n">
        <v>-46.5</v>
      </c>
      <c r="K106" s="2" t="n">
        <v>0</v>
      </c>
      <c r="L106" s="2" t="inlineStr">
        <is>
          <t>Madeira</t>
        </is>
      </c>
      <c r="M106" s="2" t="inlineStr">
        <is>
          <t>taxa reduzida por distancia/altura/suporte.</t>
        </is>
      </c>
    </row>
    <row r="107" ht="30" customHeight="1">
      <c r="A107" s="2" t="n">
        <v>150</v>
      </c>
      <c r="B107" s="2" t="n">
        <v>240</v>
      </c>
      <c r="C107" s="7" t="n">
        <v>1</v>
      </c>
      <c r="D107" s="2" t="inlineStr">
        <is>
          <t>TAG240</t>
        </is>
      </c>
      <c r="E107" s="2" t="n">
        <v>30</v>
      </c>
      <c r="F107" s="2" t="n">
        <v>26</v>
      </c>
      <c r="G107" s="7">
        <f>IF(E107&gt;0,F107/E107*100,"")</f>
        <v/>
      </c>
      <c r="H107" s="7" t="n">
        <v>-56.4</v>
      </c>
      <c r="I107" s="7" t="n">
        <v>-59.9</v>
      </c>
      <c r="J107" s="7" t="n">
        <v>-53.9</v>
      </c>
      <c r="K107" s="2" t="n">
        <v>0</v>
      </c>
      <c r="L107" s="2" t="inlineStr">
        <is>
          <t>Madeira</t>
        </is>
      </c>
      <c r="M107" s="2" t="inlineStr">
        <is>
          <t>taxa reduzida por distancia/altura/suporte.</t>
        </is>
      </c>
    </row>
    <row r="108" ht="30" customHeight="1">
      <c r="A108" s="2" t="n">
        <v>150</v>
      </c>
      <c r="B108" s="2" t="n">
        <v>240</v>
      </c>
      <c r="C108" s="7" t="n">
        <v>1.5</v>
      </c>
      <c r="D108" s="2" t="inlineStr">
        <is>
          <t>TAG240</t>
        </is>
      </c>
      <c r="E108" s="2" t="n">
        <v>30</v>
      </c>
      <c r="F108" s="2" t="n">
        <v>26</v>
      </c>
      <c r="G108" s="7">
        <f>IF(E108&gt;0,F108/E108*100,"")</f>
        <v/>
      </c>
      <c r="H108" s="7" t="n">
        <v>-63.8</v>
      </c>
      <c r="I108" s="7" t="n">
        <v>-67.3</v>
      </c>
      <c r="J108" s="7" t="n">
        <v>-61.3</v>
      </c>
      <c r="K108" s="2" t="n">
        <v>0</v>
      </c>
      <c r="L108" s="2" t="inlineStr">
        <is>
          <t>Madeira</t>
        </is>
      </c>
      <c r="M108" s="2" t="inlineStr">
        <is>
          <t>taxa reduzida por distancia/altura/suporte.</t>
        </is>
      </c>
    </row>
    <row r="109" ht="30" customHeight="1">
      <c r="A109" s="2" t="n">
        <v>150</v>
      </c>
      <c r="B109" s="2" t="n">
        <v>240</v>
      </c>
      <c r="C109" s="7" t="n">
        <v>2</v>
      </c>
      <c r="D109" s="2" t="inlineStr">
        <is>
          <t>TAG240</t>
        </is>
      </c>
      <c r="E109" s="2" t="n">
        <v>30</v>
      </c>
      <c r="F109" s="2" t="n">
        <v>22</v>
      </c>
      <c r="G109" s="7">
        <f>IF(E109&gt;0,F109/E109*100,"")</f>
        <v/>
      </c>
      <c r="H109" s="7" t="n">
        <v>-71</v>
      </c>
      <c r="I109" s="7" t="n">
        <v>-74.5</v>
      </c>
      <c r="J109" s="7" t="n">
        <v>-68.5</v>
      </c>
      <c r="K109" s="2" t="n">
        <v>0</v>
      </c>
      <c r="L109" s="2" t="inlineStr">
        <is>
          <t>Madeira</t>
        </is>
      </c>
      <c r="M109" s="2" t="inlineStr">
        <is>
          <t>taxa reduzida por distancia/altura/suporte.</t>
        </is>
      </c>
    </row>
    <row r="110" ht="30" customHeight="1">
      <c r="A110" s="2" t="n">
        <v>150</v>
      </c>
      <c r="B110" s="2" t="n">
        <v>240</v>
      </c>
      <c r="C110" s="7" t="n">
        <v>2.5</v>
      </c>
      <c r="D110" s="2" t="inlineStr">
        <is>
          <t>TAG240</t>
        </is>
      </c>
      <c r="E110" s="2" t="n">
        <v>30</v>
      </c>
      <c r="F110" s="2" t="n">
        <v>19</v>
      </c>
      <c r="G110" s="7">
        <f>IF(E110&gt;0,F110/E110*100,"")</f>
        <v/>
      </c>
      <c r="H110" s="7" t="n">
        <v>-76.40000000000001</v>
      </c>
      <c r="I110" s="7" t="n">
        <v>-79.90000000000001</v>
      </c>
      <c r="J110" s="7" t="n">
        <v>-73.90000000000001</v>
      </c>
      <c r="K110" s="2" t="n">
        <v>0</v>
      </c>
      <c r="L110" s="2" t="inlineStr">
        <is>
          <t>Madeira</t>
        </is>
      </c>
      <c r="M110" s="2" t="inlineStr">
        <is>
          <t>taxa reduzida por distancia/altura/suporte.</t>
        </is>
      </c>
    </row>
    <row r="111" ht="30" customHeight="1">
      <c r="A111" s="2" t="n">
        <v>150</v>
      </c>
      <c r="B111" s="2" t="n">
        <v>240</v>
      </c>
      <c r="C111" s="7" t="n">
        <v>3</v>
      </c>
      <c r="D111" s="2" t="inlineStr">
        <is>
          <t>TAG240</t>
        </is>
      </c>
      <c r="E111" s="2" t="n">
        <v>30</v>
      </c>
      <c r="F111" s="2" t="n">
        <v>14</v>
      </c>
      <c r="G111" s="7">
        <f>IF(E111&gt;0,F111/E111*100,"")</f>
        <v/>
      </c>
      <c r="H111" s="7" t="n">
        <v>-81.8</v>
      </c>
      <c r="I111" s="7" t="n">
        <v>-85.3</v>
      </c>
      <c r="J111" s="7" t="n">
        <v>-79.3</v>
      </c>
      <c r="K111" s="2" t="n">
        <v>0</v>
      </c>
      <c r="L111" s="2" t="inlineStr">
        <is>
          <t>Madeira</t>
        </is>
      </c>
      <c r="M111" s="2" t="inlineStr">
        <is>
          <t>taxa reduzida por distancia/altura/suporte.</t>
        </is>
      </c>
    </row>
    <row r="112" ht="30" customHeight="1">
      <c r="A112" s="2" t="n">
        <v>150</v>
      </c>
      <c r="B112" s="2" t="n">
        <v>240</v>
      </c>
      <c r="C112" s="7" t="n">
        <v>3.5</v>
      </c>
      <c r="D112" s="2" t="inlineStr">
        <is>
          <t>TAG240</t>
        </is>
      </c>
      <c r="E112" s="2" t="n">
        <v>30</v>
      </c>
      <c r="F112" s="2" t="n">
        <v>3</v>
      </c>
      <c r="G112" s="7">
        <f>IF(E112&gt;0,F112/E112*100,"")</f>
        <v/>
      </c>
      <c r="H112" s="7" t="n">
        <v>-89</v>
      </c>
      <c r="I112" s="7" t="n">
        <v>-94.5</v>
      </c>
      <c r="J112" s="7" t="n">
        <v>-86.5</v>
      </c>
      <c r="K112" s="2" t="n">
        <v>0</v>
      </c>
      <c r="L112" s="2" t="inlineStr">
        <is>
          <t>Madeira</t>
        </is>
      </c>
      <c r="M112" s="2" t="inlineStr">
        <is>
          <t>taxa reduzida por distancia/altura/suporte.</t>
        </is>
      </c>
    </row>
    <row r="113">
      <c r="A113" s="2" t="n">
        <v>150</v>
      </c>
      <c r="B113" s="2" t="n">
        <v>240</v>
      </c>
      <c r="C113" s="7" t="n">
        <v>4</v>
      </c>
      <c r="D113" s="2" t="inlineStr">
        <is>
          <t>TAG240</t>
        </is>
      </c>
      <c r="E113" s="2" t="n">
        <v>30</v>
      </c>
      <c r="F113" s="2" t="n">
        <v>0</v>
      </c>
      <c r="G113" s="7">
        <f>IF(E113&gt;0,F113/E113*100,"")</f>
        <v/>
      </c>
      <c r="H113" s="2" t="inlineStr"/>
      <c r="I113" s="2" t="inlineStr"/>
      <c r="J113" s="2" t="inlineStr"/>
      <c r="K113" s="2" t="n">
        <v>0</v>
      </c>
      <c r="L113" s="2" t="inlineStr">
        <is>
          <t>Madeira</t>
        </is>
      </c>
      <c r="M113" s="2" t="inlineStr">
        <is>
          <t>fora da faixa repetivel nesta configuracao.</t>
        </is>
      </c>
    </row>
    <row r="114">
      <c r="A114" s="2" t="n">
        <v>150</v>
      </c>
      <c r="B114" s="2" t="n">
        <v>250</v>
      </c>
      <c r="C114" s="7" t="n">
        <v>0.5</v>
      </c>
      <c r="D114" s="2" t="inlineStr">
        <is>
          <t>TAG250</t>
        </is>
      </c>
      <c r="E114" s="2" t="n">
        <v>30</v>
      </c>
      <c r="F114" s="2" t="n">
        <v>27</v>
      </c>
      <c r="G114" s="7">
        <f>IF(E114&gt;0,F114/E114*100,"")</f>
        <v/>
      </c>
      <c r="H114" s="7" t="n">
        <v>-47</v>
      </c>
      <c r="I114" s="7" t="n">
        <v>-50.5</v>
      </c>
      <c r="J114" s="7" t="n">
        <v>-44.5</v>
      </c>
      <c r="K114" s="2" t="n">
        <v>0</v>
      </c>
      <c r="L114" s="2" t="inlineStr">
        <is>
          <t>Papelao</t>
        </is>
      </c>
      <c r="M114" s="2" t="inlineStr">
        <is>
          <t>leitura repetivel no criterio de 90%.</t>
        </is>
      </c>
    </row>
    <row r="115" ht="30" customHeight="1">
      <c r="A115" s="2" t="n">
        <v>150</v>
      </c>
      <c r="B115" s="2" t="n">
        <v>250</v>
      </c>
      <c r="C115" s="7" t="n">
        <v>1</v>
      </c>
      <c r="D115" s="2" t="inlineStr">
        <is>
          <t>TAG250</t>
        </is>
      </c>
      <c r="E115" s="2" t="n">
        <v>30</v>
      </c>
      <c r="F115" s="2" t="n">
        <v>25</v>
      </c>
      <c r="G115" s="7">
        <f>IF(E115&gt;0,F115/E115*100,"")</f>
        <v/>
      </c>
      <c r="H115" s="7" t="n">
        <v>-56.2</v>
      </c>
      <c r="I115" s="7" t="n">
        <v>-59.7</v>
      </c>
      <c r="J115" s="7" t="n">
        <v>-53.7</v>
      </c>
      <c r="K115" s="2" t="n">
        <v>0</v>
      </c>
      <c r="L115" s="2" t="inlineStr">
        <is>
          <t>Papelao</t>
        </is>
      </c>
      <c r="M115" s="2" t="inlineStr">
        <is>
          <t>taxa reduzida por distancia/altura/suporte.</t>
        </is>
      </c>
    </row>
    <row r="116" ht="30" customHeight="1">
      <c r="A116" s="2" t="n">
        <v>150</v>
      </c>
      <c r="B116" s="2" t="n">
        <v>250</v>
      </c>
      <c r="C116" s="7" t="n">
        <v>1.5</v>
      </c>
      <c r="D116" s="2" t="inlineStr">
        <is>
          <t>TAG250</t>
        </is>
      </c>
      <c r="E116" s="2" t="n">
        <v>30</v>
      </c>
      <c r="F116" s="2" t="n">
        <v>25</v>
      </c>
      <c r="G116" s="7">
        <f>IF(E116&gt;0,F116/E116*100,"")</f>
        <v/>
      </c>
      <c r="H116" s="7" t="n">
        <v>-63.6</v>
      </c>
      <c r="I116" s="7" t="n">
        <v>-67.09999999999999</v>
      </c>
      <c r="J116" s="7" t="n">
        <v>-61.1</v>
      </c>
      <c r="K116" s="2" t="n">
        <v>0</v>
      </c>
      <c r="L116" s="2" t="inlineStr">
        <is>
          <t>Papelao</t>
        </is>
      </c>
      <c r="M116" s="2" t="inlineStr">
        <is>
          <t>taxa reduzida por distancia/altura/suporte.</t>
        </is>
      </c>
    </row>
    <row r="117" ht="30" customHeight="1">
      <c r="A117" s="2" t="n">
        <v>150</v>
      </c>
      <c r="B117" s="2" t="n">
        <v>250</v>
      </c>
      <c r="C117" s="7" t="n">
        <v>2</v>
      </c>
      <c r="D117" s="2" t="inlineStr">
        <is>
          <t>TAG250</t>
        </is>
      </c>
      <c r="E117" s="2" t="n">
        <v>30</v>
      </c>
      <c r="F117" s="2" t="n">
        <v>24</v>
      </c>
      <c r="G117" s="7">
        <f>IF(E117&gt;0,F117/E117*100,"")</f>
        <v/>
      </c>
      <c r="H117" s="7" t="n">
        <v>-69</v>
      </c>
      <c r="I117" s="7" t="n">
        <v>-72.5</v>
      </c>
      <c r="J117" s="7" t="n">
        <v>-66.5</v>
      </c>
      <c r="K117" s="2" t="n">
        <v>0</v>
      </c>
      <c r="L117" s="2" t="inlineStr">
        <is>
          <t>Papelao</t>
        </is>
      </c>
      <c r="M117" s="2" t="inlineStr">
        <is>
          <t>taxa reduzida por distancia/altura/suporte.</t>
        </is>
      </c>
    </row>
    <row r="118" ht="30" customHeight="1">
      <c r="A118" s="2" t="n">
        <v>150</v>
      </c>
      <c r="B118" s="2" t="n">
        <v>250</v>
      </c>
      <c r="C118" s="7" t="n">
        <v>2.5</v>
      </c>
      <c r="D118" s="2" t="inlineStr">
        <is>
          <t>TAG250</t>
        </is>
      </c>
      <c r="E118" s="2" t="n">
        <v>30</v>
      </c>
      <c r="F118" s="2" t="n">
        <v>18</v>
      </c>
      <c r="G118" s="7">
        <f>IF(E118&gt;0,F118/E118*100,"")</f>
        <v/>
      </c>
      <c r="H118" s="7" t="n">
        <v>-76.2</v>
      </c>
      <c r="I118" s="7" t="n">
        <v>-79.7</v>
      </c>
      <c r="J118" s="7" t="n">
        <v>-73.7</v>
      </c>
      <c r="K118" s="2" t="n">
        <v>0</v>
      </c>
      <c r="L118" s="2" t="inlineStr">
        <is>
          <t>Papelao</t>
        </is>
      </c>
      <c r="M118" s="2" t="inlineStr">
        <is>
          <t>taxa reduzida por distancia/altura/suporte.</t>
        </is>
      </c>
    </row>
    <row r="119" ht="30" customHeight="1">
      <c r="A119" s="2" t="n">
        <v>150</v>
      </c>
      <c r="B119" s="2" t="n">
        <v>250</v>
      </c>
      <c r="C119" s="7" t="n">
        <v>3</v>
      </c>
      <c r="D119" s="2" t="inlineStr">
        <is>
          <t>TAG250</t>
        </is>
      </c>
      <c r="E119" s="2" t="n">
        <v>30</v>
      </c>
      <c r="F119" s="2" t="n">
        <v>13</v>
      </c>
      <c r="G119" s="7">
        <f>IF(E119&gt;0,F119/E119*100,"")</f>
        <v/>
      </c>
      <c r="H119" s="7" t="n">
        <v>-81.59999999999999</v>
      </c>
      <c r="I119" s="7" t="n">
        <v>-85.09999999999999</v>
      </c>
      <c r="J119" s="7" t="n">
        <v>-79.09999999999999</v>
      </c>
      <c r="K119" s="2" t="n">
        <v>0</v>
      </c>
      <c r="L119" s="2" t="inlineStr">
        <is>
          <t>Papelao</t>
        </is>
      </c>
      <c r="M119" s="2" t="inlineStr">
        <is>
          <t>taxa reduzida por distancia/altura/suporte.</t>
        </is>
      </c>
    </row>
    <row r="120" ht="30" customHeight="1">
      <c r="A120" s="2" t="n">
        <v>150</v>
      </c>
      <c r="B120" s="2" t="n">
        <v>250</v>
      </c>
      <c r="C120" s="7" t="n">
        <v>3.5</v>
      </c>
      <c r="D120" s="2" t="inlineStr">
        <is>
          <t>TAG250</t>
        </is>
      </c>
      <c r="E120" s="2" t="n">
        <v>30</v>
      </c>
      <c r="F120" s="2" t="n">
        <v>5</v>
      </c>
      <c r="G120" s="7">
        <f>IF(E120&gt;0,F120/E120*100,"")</f>
        <v/>
      </c>
      <c r="H120" s="7" t="n">
        <v>-87</v>
      </c>
      <c r="I120" s="7" t="n">
        <v>-92.5</v>
      </c>
      <c r="J120" s="7" t="n">
        <v>-84.5</v>
      </c>
      <c r="K120" s="2" t="n">
        <v>0</v>
      </c>
      <c r="L120" s="2" t="inlineStr">
        <is>
          <t>Papelao</t>
        </is>
      </c>
      <c r="M120" s="2" t="inlineStr">
        <is>
          <t>taxa reduzida por distancia/altura/suporte.</t>
        </is>
      </c>
    </row>
    <row r="121">
      <c r="A121" s="2" t="n">
        <v>150</v>
      </c>
      <c r="B121" s="2" t="n">
        <v>250</v>
      </c>
      <c r="C121" s="7" t="n">
        <v>4</v>
      </c>
      <c r="D121" s="2" t="inlineStr">
        <is>
          <t>TAG250</t>
        </is>
      </c>
      <c r="E121" s="2" t="n">
        <v>30</v>
      </c>
      <c r="F121" s="2" t="n">
        <v>0</v>
      </c>
      <c r="G121" s="7">
        <f>IF(E121&gt;0,F121/E121*100,"")</f>
        <v/>
      </c>
      <c r="H121" s="2" t="inlineStr"/>
      <c r="I121" s="2" t="inlineStr"/>
      <c r="J121" s="2" t="inlineStr"/>
      <c r="K121" s="2" t="n">
        <v>0</v>
      </c>
      <c r="L121" s="2" t="inlineStr">
        <is>
          <t>Papelao</t>
        </is>
      </c>
      <c r="M121" s="2" t="inlineStr">
        <is>
          <t>fora da faixa repetivel nesta configuracao.</t>
        </is>
      </c>
    </row>
  </sheetData>
  <autoFilter ref="A1:M1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6"/>
  <sheetViews>
    <sheetView showGridLines="0" workbookViewId="0">
      <pane ySplit="1" topLeftCell="A31" activePane="bottomLeft" state="frozen"/>
      <selection activeCell="A1" sqref="A1"/>
      <selection pane="bottomLeft" activeCell="J2" sqref="J2"/>
    </sheetView>
  </sheetViews>
  <sheetFormatPr baseColWidth="8" defaultColWidth="9" defaultRowHeight="15"/>
  <cols>
    <col width="18" customWidth="1" min="1" max="1"/>
    <col width="16" customWidth="1" min="2" max="2"/>
    <col width="13" customWidth="1" min="3" max="3"/>
    <col width="14" customWidth="1" min="4" max="4"/>
    <col width="16" customWidth="1" min="5" max="5"/>
    <col width="12" customWidth="1" min="6" max="6"/>
    <col width="16" customWidth="1" min="7" max="8"/>
    <col width="12" customWidth="1" min="9" max="9"/>
    <col width="38" customWidth="1" min="10" max="10"/>
  </cols>
  <sheetData>
    <row r="1">
      <c r="A1" s="1" t="inlineStr">
        <is>
          <t>altura_antena_cm</t>
        </is>
      </c>
      <c r="B1" s="1" t="inlineStr">
        <is>
          <t>altura_tag_cm</t>
        </is>
      </c>
      <c r="C1" s="1" t="inlineStr">
        <is>
          <t>distancia_m</t>
        </is>
      </c>
      <c r="D1" s="1" t="inlineStr">
        <is>
          <t>id_tag</t>
        </is>
      </c>
      <c r="E1" s="1" t="inlineStr">
        <is>
          <t>orientacao_graus</t>
        </is>
      </c>
      <c r="F1" s="1" t="inlineStr">
        <is>
          <t>tentativas</t>
        </is>
      </c>
      <c r="G1" s="1" t="inlineStr">
        <is>
          <t>leituras_validas</t>
        </is>
      </c>
      <c r="H1" s="1" t="inlineStr">
        <is>
          <t>taxa_sucesso_%</t>
        </is>
      </c>
      <c r="I1" s="1" t="inlineStr">
        <is>
          <t>rssi_medio</t>
        </is>
      </c>
      <c r="J1" s="1" t="inlineStr">
        <is>
          <t>observacoes</t>
        </is>
      </c>
    </row>
    <row r="2">
      <c r="A2" s="2" t="n">
        <v>150</v>
      </c>
      <c r="B2" s="2" t="n">
        <v>110</v>
      </c>
      <c r="C2" s="7" t="n">
        <v>2</v>
      </c>
      <c r="D2" s="2" t="inlineStr">
        <is>
          <t>TAG110</t>
        </is>
      </c>
      <c r="E2" s="2" t="n">
        <v>0</v>
      </c>
      <c r="F2" s="2" t="n">
        <v>30</v>
      </c>
      <c r="G2" s="2" t="n">
        <v>24</v>
      </c>
      <c r="H2" s="7">
        <f>IF(F2&gt;0,G2/F2*100,"")</f>
        <v/>
      </c>
      <c r="I2" s="7" t="n">
        <v>-67.09999999999999</v>
      </c>
      <c r="J2" s="2" t="inlineStr">
        <is>
          <t>referencia alinhada com a antena linear.</t>
        </is>
      </c>
    </row>
    <row r="3" ht="30" customHeight="1">
      <c r="A3" s="2" t="n">
        <v>150</v>
      </c>
      <c r="B3" s="2" t="n">
        <v>110</v>
      </c>
      <c r="C3" s="7" t="n">
        <v>2</v>
      </c>
      <c r="D3" s="2" t="inlineStr">
        <is>
          <t>TAG110</t>
        </is>
      </c>
      <c r="E3" s="2" t="n">
        <v>45</v>
      </c>
      <c r="F3" s="2" t="n">
        <v>30</v>
      </c>
      <c r="G3" s="2" t="n">
        <v>15</v>
      </c>
      <c r="H3" s="7">
        <f>IF(F3&gt;0,G3/F3*100,"")</f>
        <v/>
      </c>
      <c r="I3" s="7" t="n">
        <v>-76.09999999999999</v>
      </c>
      <c r="J3" s="2" t="inlineStr">
        <is>
          <t>perda intermediaria por desalinhamento angular.</t>
        </is>
      </c>
    </row>
    <row r="4" ht="30" customHeight="1">
      <c r="A4" s="2" t="n">
        <v>150</v>
      </c>
      <c r="B4" s="2" t="n">
        <v>110</v>
      </c>
      <c r="C4" s="7" t="n">
        <v>2</v>
      </c>
      <c r="D4" s="2" t="inlineStr">
        <is>
          <t>TAG110</t>
        </is>
      </c>
      <c r="E4" s="2" t="n">
        <v>90</v>
      </c>
      <c r="F4" s="2" t="n">
        <v>30</v>
      </c>
      <c r="G4" s="2" t="n">
        <v>2</v>
      </c>
      <c r="H4" s="7">
        <f>IF(F4&gt;0,G4/F4*100,"")</f>
        <v/>
      </c>
      <c r="I4" s="7" t="n">
        <v>-87.09999999999999</v>
      </c>
      <c r="J4" s="2" t="inlineStr">
        <is>
          <t>orientacao quase ortogonal, leitura instavel.</t>
        </is>
      </c>
    </row>
    <row r="5">
      <c r="A5" s="2" t="n">
        <v>150</v>
      </c>
      <c r="B5" s="2" t="n">
        <v>120</v>
      </c>
      <c r="C5" s="7" t="n">
        <v>2</v>
      </c>
      <c r="D5" s="2" t="inlineStr">
        <is>
          <t>TAG120</t>
        </is>
      </c>
      <c r="E5" s="2" t="n">
        <v>0</v>
      </c>
      <c r="F5" s="2" t="n">
        <v>30</v>
      </c>
      <c r="G5" s="2" t="n">
        <v>27</v>
      </c>
      <c r="H5" s="7">
        <f>IF(F5&gt;0,G5/F5*100,"")</f>
        <v/>
      </c>
      <c r="I5" s="7" t="n">
        <v>-64.8</v>
      </c>
      <c r="J5" s="2" t="inlineStr">
        <is>
          <t>referencia alinhada com a antena linear.</t>
        </is>
      </c>
    </row>
    <row r="6" ht="30" customHeight="1">
      <c r="A6" s="2" t="n">
        <v>150</v>
      </c>
      <c r="B6" s="2" t="n">
        <v>120</v>
      </c>
      <c r="C6" s="7" t="n">
        <v>2</v>
      </c>
      <c r="D6" s="2" t="inlineStr">
        <is>
          <t>TAG120</t>
        </is>
      </c>
      <c r="E6" s="2" t="n">
        <v>45</v>
      </c>
      <c r="F6" s="2" t="n">
        <v>30</v>
      </c>
      <c r="G6" s="2" t="n">
        <v>18</v>
      </c>
      <c r="H6" s="7">
        <f>IF(F6&gt;0,G6/F6*100,"")</f>
        <v/>
      </c>
      <c r="I6" s="7" t="n">
        <v>-73.8</v>
      </c>
      <c r="J6" s="2" t="inlineStr">
        <is>
          <t>perda intermediaria por desalinhamento angular.</t>
        </is>
      </c>
    </row>
    <row r="7" ht="30" customHeight="1">
      <c r="A7" s="2" t="n">
        <v>150</v>
      </c>
      <c r="B7" s="2" t="n">
        <v>120</v>
      </c>
      <c r="C7" s="7" t="n">
        <v>2</v>
      </c>
      <c r="D7" s="2" t="inlineStr">
        <is>
          <t>TAG120</t>
        </is>
      </c>
      <c r="E7" s="2" t="n">
        <v>90</v>
      </c>
      <c r="F7" s="2" t="n">
        <v>30</v>
      </c>
      <c r="G7" s="2" t="n">
        <v>5</v>
      </c>
      <c r="H7" s="7">
        <f>IF(F7&gt;0,G7/F7*100,"")</f>
        <v/>
      </c>
      <c r="I7" s="7" t="n">
        <v>-84.8</v>
      </c>
      <c r="J7" s="2" t="inlineStr">
        <is>
          <t>orientacao quase ortogonal, leitura instavel.</t>
        </is>
      </c>
    </row>
    <row r="8">
      <c r="A8" s="2" t="n">
        <v>150</v>
      </c>
      <c r="B8" s="2" t="n">
        <v>130</v>
      </c>
      <c r="C8" s="7" t="n">
        <v>2</v>
      </c>
      <c r="D8" s="2" t="inlineStr">
        <is>
          <t>TAG130</t>
        </is>
      </c>
      <c r="E8" s="2" t="n">
        <v>0</v>
      </c>
      <c r="F8" s="2" t="n">
        <v>30</v>
      </c>
      <c r="G8" s="2" t="n">
        <v>26</v>
      </c>
      <c r="H8" s="7">
        <f>IF(F8&gt;0,G8/F8*100,"")</f>
        <v/>
      </c>
      <c r="I8" s="7" t="n">
        <v>-65.3</v>
      </c>
      <c r="J8" s="2" t="inlineStr">
        <is>
          <t>referencia alinhada com a antena linear.</t>
        </is>
      </c>
    </row>
    <row r="9" ht="30" customHeight="1">
      <c r="A9" s="2" t="n">
        <v>150</v>
      </c>
      <c r="B9" s="2" t="n">
        <v>130</v>
      </c>
      <c r="C9" s="7" t="n">
        <v>2</v>
      </c>
      <c r="D9" s="2" t="inlineStr">
        <is>
          <t>TAG130</t>
        </is>
      </c>
      <c r="E9" s="2" t="n">
        <v>45</v>
      </c>
      <c r="F9" s="2" t="n">
        <v>30</v>
      </c>
      <c r="G9" s="2" t="n">
        <v>17</v>
      </c>
      <c r="H9" s="7">
        <f>IF(F9&gt;0,G9/F9*100,"")</f>
        <v/>
      </c>
      <c r="I9" s="7" t="n">
        <v>-74.3</v>
      </c>
      <c r="J9" s="2" t="inlineStr">
        <is>
          <t>perda intermediaria por desalinhamento angular.</t>
        </is>
      </c>
    </row>
    <row r="10" ht="30" customHeight="1">
      <c r="A10" s="2" t="n">
        <v>150</v>
      </c>
      <c r="B10" s="2" t="n">
        <v>130</v>
      </c>
      <c r="C10" s="7" t="n">
        <v>2</v>
      </c>
      <c r="D10" s="2" t="inlineStr">
        <is>
          <t>TAG130</t>
        </is>
      </c>
      <c r="E10" s="2" t="n">
        <v>90</v>
      </c>
      <c r="F10" s="2" t="n">
        <v>30</v>
      </c>
      <c r="G10" s="2" t="n">
        <v>4</v>
      </c>
      <c r="H10" s="7">
        <f>IF(F10&gt;0,G10/F10*100,"")</f>
        <v/>
      </c>
      <c r="I10" s="7" t="n">
        <v>-85.3</v>
      </c>
      <c r="J10" s="2" t="inlineStr">
        <is>
          <t>orientacao quase ortogonal, leitura instavel.</t>
        </is>
      </c>
    </row>
    <row r="11">
      <c r="A11" s="2" t="n">
        <v>150</v>
      </c>
      <c r="B11" s="2" t="n">
        <v>140</v>
      </c>
      <c r="C11" s="7" t="n">
        <v>2</v>
      </c>
      <c r="D11" s="2" t="inlineStr">
        <is>
          <t>TAG140</t>
        </is>
      </c>
      <c r="E11" s="2" t="n">
        <v>0</v>
      </c>
      <c r="F11" s="2" t="n">
        <v>30</v>
      </c>
      <c r="G11" s="2" t="n">
        <v>26</v>
      </c>
      <c r="H11" s="7">
        <f>IF(F11&gt;0,G11/F11*100,"")</f>
        <v/>
      </c>
      <c r="I11" s="7" t="n">
        <v>-64.5</v>
      </c>
      <c r="J11" s="2" t="inlineStr">
        <is>
          <t>referencia alinhada com a antena linear.</t>
        </is>
      </c>
    </row>
    <row r="12" ht="30" customHeight="1">
      <c r="A12" s="2" t="n">
        <v>150</v>
      </c>
      <c r="B12" s="2" t="n">
        <v>140</v>
      </c>
      <c r="C12" s="7" t="n">
        <v>2</v>
      </c>
      <c r="D12" s="2" t="inlineStr">
        <is>
          <t>TAG140</t>
        </is>
      </c>
      <c r="E12" s="2" t="n">
        <v>45</v>
      </c>
      <c r="F12" s="2" t="n">
        <v>30</v>
      </c>
      <c r="G12" s="2" t="n">
        <v>17</v>
      </c>
      <c r="H12" s="7">
        <f>IF(F12&gt;0,G12/F12*100,"")</f>
        <v/>
      </c>
      <c r="I12" s="7" t="n">
        <v>-73.5</v>
      </c>
      <c r="J12" s="2" t="inlineStr">
        <is>
          <t>perda intermediaria por desalinhamento angular.</t>
        </is>
      </c>
    </row>
    <row r="13" ht="30" customHeight="1">
      <c r="A13" s="2" t="n">
        <v>150</v>
      </c>
      <c r="B13" s="2" t="n">
        <v>140</v>
      </c>
      <c r="C13" s="7" t="n">
        <v>2</v>
      </c>
      <c r="D13" s="2" t="inlineStr">
        <is>
          <t>TAG140</t>
        </is>
      </c>
      <c r="E13" s="2" t="n">
        <v>90</v>
      </c>
      <c r="F13" s="2" t="n">
        <v>30</v>
      </c>
      <c r="G13" s="2" t="n">
        <v>4</v>
      </c>
      <c r="H13" s="7">
        <f>IF(F13&gt;0,G13/F13*100,"")</f>
        <v/>
      </c>
      <c r="I13" s="7" t="n">
        <v>-84.5</v>
      </c>
      <c r="J13" s="2" t="inlineStr">
        <is>
          <t>orientacao quase ortogonal, leitura instavel.</t>
        </is>
      </c>
    </row>
    <row r="14">
      <c r="A14" s="2" t="n">
        <v>150</v>
      </c>
      <c r="B14" s="2" t="n">
        <v>150</v>
      </c>
      <c r="C14" s="7" t="n">
        <v>2</v>
      </c>
      <c r="D14" s="2" t="inlineStr">
        <is>
          <t>TAG150</t>
        </is>
      </c>
      <c r="E14" s="2" t="n">
        <v>0</v>
      </c>
      <c r="F14" s="2" t="n">
        <v>30</v>
      </c>
      <c r="G14" s="2" t="n">
        <v>28</v>
      </c>
      <c r="H14" s="7">
        <f>IF(F14&gt;0,G14/F14*100,"")</f>
        <v/>
      </c>
      <c r="I14" s="7" t="n">
        <v>-63.5</v>
      </c>
      <c r="J14" s="2" t="inlineStr">
        <is>
          <t>referencia alinhada com a antena linear.</t>
        </is>
      </c>
    </row>
    <row r="15" ht="30" customHeight="1">
      <c r="A15" s="2" t="n">
        <v>150</v>
      </c>
      <c r="B15" s="2" t="n">
        <v>150</v>
      </c>
      <c r="C15" s="7" t="n">
        <v>2</v>
      </c>
      <c r="D15" s="2" t="inlineStr">
        <is>
          <t>TAG150</t>
        </is>
      </c>
      <c r="E15" s="2" t="n">
        <v>45</v>
      </c>
      <c r="F15" s="2" t="n">
        <v>30</v>
      </c>
      <c r="G15" s="2" t="n">
        <v>19</v>
      </c>
      <c r="H15" s="7">
        <f>IF(F15&gt;0,G15/F15*100,"")</f>
        <v/>
      </c>
      <c r="I15" s="7" t="n">
        <v>-72.5</v>
      </c>
      <c r="J15" s="2" t="inlineStr">
        <is>
          <t>perda intermediaria por desalinhamento angular.</t>
        </is>
      </c>
    </row>
    <row r="16" ht="30" customHeight="1">
      <c r="A16" s="2" t="n">
        <v>150</v>
      </c>
      <c r="B16" s="2" t="n">
        <v>150</v>
      </c>
      <c r="C16" s="7" t="n">
        <v>2</v>
      </c>
      <c r="D16" s="2" t="inlineStr">
        <is>
          <t>TAG150</t>
        </is>
      </c>
      <c r="E16" s="2" t="n">
        <v>90</v>
      </c>
      <c r="F16" s="2" t="n">
        <v>30</v>
      </c>
      <c r="G16" s="2" t="n">
        <v>6</v>
      </c>
      <c r="H16" s="7">
        <f>IF(F16&gt;0,G16/F16*100,"")</f>
        <v/>
      </c>
      <c r="I16" s="7" t="n">
        <v>-83.5</v>
      </c>
      <c r="J16" s="2" t="inlineStr">
        <is>
          <t>orientacao quase ortogonal, leitura instavel.</t>
        </is>
      </c>
    </row>
    <row r="17">
      <c r="A17" s="2" t="n">
        <v>150</v>
      </c>
      <c r="B17" s="2" t="n">
        <v>160</v>
      </c>
      <c r="C17" s="7" t="n">
        <v>2</v>
      </c>
      <c r="D17" s="2" t="inlineStr">
        <is>
          <t>TAG160</t>
        </is>
      </c>
      <c r="E17" s="2" t="n">
        <v>0</v>
      </c>
      <c r="F17" s="2" t="n">
        <v>30</v>
      </c>
      <c r="G17" s="2" t="n">
        <v>27</v>
      </c>
      <c r="H17" s="7">
        <f>IF(F17&gt;0,G17/F17*100,"")</f>
        <v/>
      </c>
      <c r="I17" s="7" t="n">
        <v>-64</v>
      </c>
      <c r="J17" s="2" t="inlineStr">
        <is>
          <t>referencia alinhada com a antena linear.</t>
        </is>
      </c>
    </row>
    <row r="18" ht="30" customHeight="1">
      <c r="A18" s="2" t="n">
        <v>150</v>
      </c>
      <c r="B18" s="2" t="n">
        <v>160</v>
      </c>
      <c r="C18" s="7" t="n">
        <v>2</v>
      </c>
      <c r="D18" s="2" t="inlineStr">
        <is>
          <t>TAG160</t>
        </is>
      </c>
      <c r="E18" s="2" t="n">
        <v>45</v>
      </c>
      <c r="F18" s="2" t="n">
        <v>30</v>
      </c>
      <c r="G18" s="2" t="n">
        <v>18</v>
      </c>
      <c r="H18" s="7">
        <f>IF(F18&gt;0,G18/F18*100,"")</f>
        <v/>
      </c>
      <c r="I18" s="7" t="n">
        <v>-73</v>
      </c>
      <c r="J18" s="2" t="inlineStr">
        <is>
          <t>perda intermediaria por desalinhamento angular.</t>
        </is>
      </c>
    </row>
    <row r="19" ht="30" customHeight="1">
      <c r="A19" s="2" t="n">
        <v>150</v>
      </c>
      <c r="B19" s="2" t="n">
        <v>160</v>
      </c>
      <c r="C19" s="7" t="n">
        <v>2</v>
      </c>
      <c r="D19" s="2" t="inlineStr">
        <is>
          <t>TAG160</t>
        </is>
      </c>
      <c r="E19" s="2" t="n">
        <v>90</v>
      </c>
      <c r="F19" s="2" t="n">
        <v>30</v>
      </c>
      <c r="G19" s="2" t="n">
        <v>5</v>
      </c>
      <c r="H19" s="7">
        <f>IF(F19&gt;0,G19/F19*100,"")</f>
        <v/>
      </c>
      <c r="I19" s="7" t="n">
        <v>-84</v>
      </c>
      <c r="J19" s="2" t="inlineStr">
        <is>
          <t>orientacao quase ortogonal, leitura instavel.</t>
        </is>
      </c>
    </row>
    <row r="20">
      <c r="A20" s="2" t="n">
        <v>150</v>
      </c>
      <c r="B20" s="2" t="n">
        <v>170</v>
      </c>
      <c r="C20" s="7" t="n">
        <v>2</v>
      </c>
      <c r="D20" s="2" t="inlineStr">
        <is>
          <t>TAG170</t>
        </is>
      </c>
      <c r="E20" s="2" t="n">
        <v>0</v>
      </c>
      <c r="F20" s="2" t="n">
        <v>30</v>
      </c>
      <c r="G20" s="2" t="n">
        <v>25</v>
      </c>
      <c r="H20" s="7">
        <f>IF(F20&gt;0,G20/F20*100,"")</f>
        <v/>
      </c>
      <c r="I20" s="7" t="n">
        <v>-65.8</v>
      </c>
      <c r="J20" s="2" t="inlineStr">
        <is>
          <t>referencia alinhada com a antena linear.</t>
        </is>
      </c>
    </row>
    <row r="21" ht="30" customHeight="1">
      <c r="A21" s="2" t="n">
        <v>150</v>
      </c>
      <c r="B21" s="2" t="n">
        <v>170</v>
      </c>
      <c r="C21" s="7" t="n">
        <v>2</v>
      </c>
      <c r="D21" s="2" t="inlineStr">
        <is>
          <t>TAG170</t>
        </is>
      </c>
      <c r="E21" s="2" t="n">
        <v>45</v>
      </c>
      <c r="F21" s="2" t="n">
        <v>30</v>
      </c>
      <c r="G21" s="2" t="n">
        <v>16</v>
      </c>
      <c r="H21" s="7">
        <f>IF(F21&gt;0,G21/F21*100,"")</f>
        <v/>
      </c>
      <c r="I21" s="7" t="n">
        <v>-74.8</v>
      </c>
      <c r="J21" s="2" t="inlineStr">
        <is>
          <t>perda intermediaria por desalinhamento angular.</t>
        </is>
      </c>
    </row>
    <row r="22" ht="30" customHeight="1">
      <c r="A22" s="2" t="n">
        <v>150</v>
      </c>
      <c r="B22" s="2" t="n">
        <v>170</v>
      </c>
      <c r="C22" s="7" t="n">
        <v>2</v>
      </c>
      <c r="D22" s="2" t="inlineStr">
        <is>
          <t>TAG170</t>
        </is>
      </c>
      <c r="E22" s="2" t="n">
        <v>90</v>
      </c>
      <c r="F22" s="2" t="n">
        <v>30</v>
      </c>
      <c r="G22" s="2" t="n">
        <v>3</v>
      </c>
      <c r="H22" s="7">
        <f>IF(F22&gt;0,G22/F22*100,"")</f>
        <v/>
      </c>
      <c r="I22" s="7" t="n">
        <v>-85.8</v>
      </c>
      <c r="J22" s="2" t="inlineStr">
        <is>
          <t>orientacao quase ortogonal, leitura instavel.</t>
        </is>
      </c>
    </row>
    <row r="23">
      <c r="A23" s="2" t="n">
        <v>150</v>
      </c>
      <c r="B23" s="2" t="n">
        <v>180</v>
      </c>
      <c r="C23" s="7" t="n">
        <v>2</v>
      </c>
      <c r="D23" s="2" t="inlineStr">
        <is>
          <t>TAG180</t>
        </is>
      </c>
      <c r="E23" s="2" t="n">
        <v>0</v>
      </c>
      <c r="F23" s="2" t="n">
        <v>30</v>
      </c>
      <c r="G23" s="2" t="n">
        <v>27</v>
      </c>
      <c r="H23" s="7">
        <f>IF(F23&gt;0,G23/F23*100,"")</f>
        <v/>
      </c>
      <c r="I23" s="7" t="n">
        <v>-64.8</v>
      </c>
      <c r="J23" s="2" t="inlineStr">
        <is>
          <t>referencia alinhada com a antena linear.</t>
        </is>
      </c>
    </row>
    <row r="24" ht="30" customHeight="1">
      <c r="A24" s="2" t="n">
        <v>150</v>
      </c>
      <c r="B24" s="2" t="n">
        <v>180</v>
      </c>
      <c r="C24" s="7" t="n">
        <v>2</v>
      </c>
      <c r="D24" s="2" t="inlineStr">
        <is>
          <t>TAG180</t>
        </is>
      </c>
      <c r="E24" s="2" t="n">
        <v>45</v>
      </c>
      <c r="F24" s="2" t="n">
        <v>30</v>
      </c>
      <c r="G24" s="2" t="n">
        <v>18</v>
      </c>
      <c r="H24" s="7">
        <f>IF(F24&gt;0,G24/F24*100,"")</f>
        <v/>
      </c>
      <c r="I24" s="7" t="n">
        <v>-73.8</v>
      </c>
      <c r="J24" s="2" t="inlineStr">
        <is>
          <t>perda intermediaria por desalinhamento angular.</t>
        </is>
      </c>
    </row>
    <row r="25" ht="30" customHeight="1">
      <c r="A25" s="2" t="n">
        <v>150</v>
      </c>
      <c r="B25" s="2" t="n">
        <v>180</v>
      </c>
      <c r="C25" s="7" t="n">
        <v>2</v>
      </c>
      <c r="D25" s="2" t="inlineStr">
        <is>
          <t>TAG180</t>
        </is>
      </c>
      <c r="E25" s="2" t="n">
        <v>90</v>
      </c>
      <c r="F25" s="2" t="n">
        <v>30</v>
      </c>
      <c r="G25" s="2" t="n">
        <v>5</v>
      </c>
      <c r="H25" s="7">
        <f>IF(F25&gt;0,G25/F25*100,"")</f>
        <v/>
      </c>
      <c r="I25" s="7" t="n">
        <v>-84.8</v>
      </c>
      <c r="J25" s="2" t="inlineStr">
        <is>
          <t>orientacao quase ortogonal, leitura instavel.</t>
        </is>
      </c>
    </row>
    <row r="26">
      <c r="A26" s="2" t="n">
        <v>150</v>
      </c>
      <c r="B26" s="2" t="n">
        <v>190</v>
      </c>
      <c r="C26" s="7" t="n">
        <v>2</v>
      </c>
      <c r="D26" s="2" t="inlineStr">
        <is>
          <t>TAG190</t>
        </is>
      </c>
      <c r="E26" s="2" t="n">
        <v>0</v>
      </c>
      <c r="F26" s="2" t="n">
        <v>30</v>
      </c>
      <c r="G26" s="2" t="n">
        <v>25</v>
      </c>
      <c r="H26" s="7">
        <f>IF(F26&gt;0,G26/F26*100,"")</f>
        <v/>
      </c>
      <c r="I26" s="7" t="n">
        <v>-66.59999999999999</v>
      </c>
      <c r="J26" s="2" t="inlineStr">
        <is>
          <t>referencia alinhada com a antena linear.</t>
        </is>
      </c>
    </row>
    <row r="27" ht="30" customHeight="1">
      <c r="A27" s="2" t="n">
        <v>150</v>
      </c>
      <c r="B27" s="2" t="n">
        <v>190</v>
      </c>
      <c r="C27" s="7" t="n">
        <v>2</v>
      </c>
      <c r="D27" s="2" t="inlineStr">
        <is>
          <t>TAG190</t>
        </is>
      </c>
      <c r="E27" s="2" t="n">
        <v>45</v>
      </c>
      <c r="F27" s="2" t="n">
        <v>30</v>
      </c>
      <c r="G27" s="2" t="n">
        <v>16</v>
      </c>
      <c r="H27" s="7">
        <f>IF(F27&gt;0,G27/F27*100,"")</f>
        <v/>
      </c>
      <c r="I27" s="7" t="n">
        <v>-75.59999999999999</v>
      </c>
      <c r="J27" s="2" t="inlineStr">
        <is>
          <t>perda intermediaria por desalinhamento angular.</t>
        </is>
      </c>
    </row>
    <row r="28" ht="30" customHeight="1">
      <c r="A28" s="2" t="n">
        <v>150</v>
      </c>
      <c r="B28" s="2" t="n">
        <v>190</v>
      </c>
      <c r="C28" s="7" t="n">
        <v>2</v>
      </c>
      <c r="D28" s="2" t="inlineStr">
        <is>
          <t>TAG190</t>
        </is>
      </c>
      <c r="E28" s="2" t="n">
        <v>90</v>
      </c>
      <c r="F28" s="2" t="n">
        <v>30</v>
      </c>
      <c r="G28" s="2" t="n">
        <v>3</v>
      </c>
      <c r="H28" s="7">
        <f>IF(F28&gt;0,G28/F28*100,"")</f>
        <v/>
      </c>
      <c r="I28" s="7" t="n">
        <v>-86.59999999999999</v>
      </c>
      <c r="J28" s="2" t="inlineStr">
        <is>
          <t>orientacao quase ortogonal, leitura instavel.</t>
        </is>
      </c>
    </row>
    <row r="29">
      <c r="A29" s="2" t="n">
        <v>150</v>
      </c>
      <c r="B29" s="2" t="n">
        <v>200</v>
      </c>
      <c r="C29" s="7" t="n">
        <v>2</v>
      </c>
      <c r="D29" s="2" t="inlineStr">
        <is>
          <t>TAG200</t>
        </is>
      </c>
      <c r="E29" s="2" t="n">
        <v>0</v>
      </c>
      <c r="F29" s="2" t="n">
        <v>30</v>
      </c>
      <c r="G29" s="2" t="n">
        <v>24</v>
      </c>
      <c r="H29" s="7">
        <f>IF(F29&gt;0,G29/F29*100,"")</f>
        <v/>
      </c>
      <c r="I29" s="7" t="n">
        <v>-67.09999999999999</v>
      </c>
      <c r="J29" s="2" t="inlineStr">
        <is>
          <t>referencia alinhada com a antena linear.</t>
        </is>
      </c>
    </row>
    <row r="30" ht="30" customHeight="1">
      <c r="A30" s="2" t="n">
        <v>150</v>
      </c>
      <c r="B30" s="2" t="n">
        <v>200</v>
      </c>
      <c r="C30" s="7" t="n">
        <v>2</v>
      </c>
      <c r="D30" s="2" t="inlineStr">
        <is>
          <t>TAG200</t>
        </is>
      </c>
      <c r="E30" s="2" t="n">
        <v>45</v>
      </c>
      <c r="F30" s="2" t="n">
        <v>30</v>
      </c>
      <c r="G30" s="2" t="n">
        <v>15</v>
      </c>
      <c r="H30" s="7">
        <f>IF(F30&gt;0,G30/F30*100,"")</f>
        <v/>
      </c>
      <c r="I30" s="7" t="n">
        <v>-76.09999999999999</v>
      </c>
      <c r="J30" s="2" t="inlineStr">
        <is>
          <t>perda intermediaria por desalinhamento angular.</t>
        </is>
      </c>
    </row>
    <row r="31" ht="30" customHeight="1">
      <c r="A31" s="2" t="n">
        <v>150</v>
      </c>
      <c r="B31" s="2" t="n">
        <v>200</v>
      </c>
      <c r="C31" s="7" t="n">
        <v>2</v>
      </c>
      <c r="D31" s="2" t="inlineStr">
        <is>
          <t>TAG200</t>
        </is>
      </c>
      <c r="E31" s="2" t="n">
        <v>90</v>
      </c>
      <c r="F31" s="2" t="n">
        <v>30</v>
      </c>
      <c r="G31" s="2" t="n">
        <v>2</v>
      </c>
      <c r="H31" s="7">
        <f>IF(F31&gt;0,G31/F31*100,"")</f>
        <v/>
      </c>
      <c r="I31" s="7" t="n">
        <v>-87.09999999999999</v>
      </c>
      <c r="J31" s="2" t="inlineStr">
        <is>
          <t>orientacao quase ortogonal, leitura instavel.</t>
        </is>
      </c>
    </row>
    <row r="32">
      <c r="A32" s="2" t="n">
        <v>150</v>
      </c>
      <c r="B32" s="2" t="n">
        <v>210</v>
      </c>
      <c r="C32" s="7" t="n">
        <v>2</v>
      </c>
      <c r="D32" s="2" t="inlineStr">
        <is>
          <t>TAG210</t>
        </is>
      </c>
      <c r="E32" s="2" t="n">
        <v>0</v>
      </c>
      <c r="F32" s="2" t="n">
        <v>30</v>
      </c>
      <c r="G32" s="2" t="n">
        <v>26</v>
      </c>
      <c r="H32" s="7">
        <f>IF(F32&gt;0,G32/F32*100,"")</f>
        <v/>
      </c>
      <c r="I32" s="7" t="n">
        <v>-66.09999999999999</v>
      </c>
      <c r="J32" s="2" t="inlineStr">
        <is>
          <t>referencia alinhada com a antena linear.</t>
        </is>
      </c>
    </row>
    <row r="33" ht="30" customHeight="1">
      <c r="A33" s="2" t="n">
        <v>150</v>
      </c>
      <c r="B33" s="2" t="n">
        <v>210</v>
      </c>
      <c r="C33" s="7" t="n">
        <v>2</v>
      </c>
      <c r="D33" s="2" t="inlineStr">
        <is>
          <t>TAG210</t>
        </is>
      </c>
      <c r="E33" s="2" t="n">
        <v>45</v>
      </c>
      <c r="F33" s="2" t="n">
        <v>30</v>
      </c>
      <c r="G33" s="2" t="n">
        <v>17</v>
      </c>
      <c r="H33" s="7">
        <f>IF(F33&gt;0,G33/F33*100,"")</f>
        <v/>
      </c>
      <c r="I33" s="7" t="n">
        <v>-75.09999999999999</v>
      </c>
      <c r="J33" s="2" t="inlineStr">
        <is>
          <t>perda intermediaria por desalinhamento angular.</t>
        </is>
      </c>
    </row>
    <row r="34" ht="30" customHeight="1">
      <c r="A34" s="2" t="n">
        <v>150</v>
      </c>
      <c r="B34" s="2" t="n">
        <v>210</v>
      </c>
      <c r="C34" s="7" t="n">
        <v>2</v>
      </c>
      <c r="D34" s="2" t="inlineStr">
        <is>
          <t>TAG210</t>
        </is>
      </c>
      <c r="E34" s="2" t="n">
        <v>90</v>
      </c>
      <c r="F34" s="2" t="n">
        <v>30</v>
      </c>
      <c r="G34" s="2" t="n">
        <v>4</v>
      </c>
      <c r="H34" s="7">
        <f>IF(F34&gt;0,G34/F34*100,"")</f>
        <v/>
      </c>
      <c r="I34" s="7" t="n">
        <v>-86.09999999999999</v>
      </c>
      <c r="J34" s="2" t="inlineStr">
        <is>
          <t>orientacao quase ortogonal, leitura instavel.</t>
        </is>
      </c>
    </row>
    <row r="35">
      <c r="A35" s="2" t="n">
        <v>150</v>
      </c>
      <c r="B35" s="2" t="n">
        <v>220</v>
      </c>
      <c r="C35" s="7" t="n">
        <v>2</v>
      </c>
      <c r="D35" s="2" t="inlineStr">
        <is>
          <t>TAG220</t>
        </is>
      </c>
      <c r="E35" s="2" t="n">
        <v>0</v>
      </c>
      <c r="F35" s="2" t="n">
        <v>30</v>
      </c>
      <c r="G35" s="2" t="n">
        <v>24</v>
      </c>
      <c r="H35" s="7">
        <f>IF(F35&gt;0,G35/F35*100,"")</f>
        <v/>
      </c>
      <c r="I35" s="7" t="n">
        <v>-67.90000000000001</v>
      </c>
      <c r="J35" s="2" t="inlineStr">
        <is>
          <t>referencia alinhada com a antena linear.</t>
        </is>
      </c>
    </row>
    <row r="36" ht="30" customHeight="1">
      <c r="A36" s="2" t="n">
        <v>150</v>
      </c>
      <c r="B36" s="2" t="n">
        <v>220</v>
      </c>
      <c r="C36" s="7" t="n">
        <v>2</v>
      </c>
      <c r="D36" s="2" t="inlineStr">
        <is>
          <t>TAG220</t>
        </is>
      </c>
      <c r="E36" s="2" t="n">
        <v>45</v>
      </c>
      <c r="F36" s="2" t="n">
        <v>30</v>
      </c>
      <c r="G36" s="2" t="n">
        <v>15</v>
      </c>
      <c r="H36" s="7">
        <f>IF(F36&gt;0,G36/F36*100,"")</f>
        <v/>
      </c>
      <c r="I36" s="7" t="n">
        <v>-76.90000000000001</v>
      </c>
      <c r="J36" s="2" t="inlineStr">
        <is>
          <t>perda intermediaria por desalinhamento angular.</t>
        </is>
      </c>
    </row>
    <row r="37" ht="30" customHeight="1">
      <c r="A37" s="2" t="n">
        <v>150</v>
      </c>
      <c r="B37" s="2" t="n">
        <v>220</v>
      </c>
      <c r="C37" s="7" t="n">
        <v>2</v>
      </c>
      <c r="D37" s="2" t="inlineStr">
        <is>
          <t>TAG220</t>
        </is>
      </c>
      <c r="E37" s="2" t="n">
        <v>90</v>
      </c>
      <c r="F37" s="2" t="n">
        <v>30</v>
      </c>
      <c r="G37" s="2" t="n">
        <v>2</v>
      </c>
      <c r="H37" s="7">
        <f>IF(F37&gt;0,G37/F37*100,"")</f>
        <v/>
      </c>
      <c r="I37" s="7" t="n">
        <v>-87.90000000000001</v>
      </c>
      <c r="J37" s="2" t="inlineStr">
        <is>
          <t>orientacao quase ortogonal, leitura instavel.</t>
        </is>
      </c>
    </row>
    <row r="38">
      <c r="A38" s="2" t="n">
        <v>150</v>
      </c>
      <c r="B38" s="2" t="n">
        <v>230</v>
      </c>
      <c r="C38" s="7" t="n">
        <v>2</v>
      </c>
      <c r="D38" s="2" t="inlineStr">
        <is>
          <t>TAG230</t>
        </is>
      </c>
      <c r="E38" s="2" t="n">
        <v>0</v>
      </c>
      <c r="F38" s="2" t="n">
        <v>30</v>
      </c>
      <c r="G38" s="2" t="n">
        <v>23</v>
      </c>
      <c r="H38" s="7">
        <f>IF(F38&gt;0,G38/F38*100,"")</f>
        <v/>
      </c>
      <c r="I38" s="7" t="n">
        <v>-68.40000000000001</v>
      </c>
      <c r="J38" s="2" t="inlineStr">
        <is>
          <t>referencia alinhada com a antena linear.</t>
        </is>
      </c>
    </row>
    <row r="39" ht="30" customHeight="1">
      <c r="A39" s="2" t="n">
        <v>150</v>
      </c>
      <c r="B39" s="2" t="n">
        <v>230</v>
      </c>
      <c r="C39" s="7" t="n">
        <v>2</v>
      </c>
      <c r="D39" s="2" t="inlineStr">
        <is>
          <t>TAG230</t>
        </is>
      </c>
      <c r="E39" s="2" t="n">
        <v>45</v>
      </c>
      <c r="F39" s="2" t="n">
        <v>30</v>
      </c>
      <c r="G39" s="2" t="n">
        <v>14</v>
      </c>
      <c r="H39" s="7">
        <f>IF(F39&gt;0,G39/F39*100,"")</f>
        <v/>
      </c>
      <c r="I39" s="7" t="n">
        <v>-77.40000000000001</v>
      </c>
      <c r="J39" s="2" t="inlineStr">
        <is>
          <t>perda intermediaria por desalinhamento angular.</t>
        </is>
      </c>
    </row>
    <row r="40" ht="30" customHeight="1">
      <c r="A40" s="2" t="n">
        <v>150</v>
      </c>
      <c r="B40" s="2" t="n">
        <v>230</v>
      </c>
      <c r="C40" s="7" t="n">
        <v>2</v>
      </c>
      <c r="D40" s="2" t="inlineStr">
        <is>
          <t>TAG230</t>
        </is>
      </c>
      <c r="E40" s="2" t="n">
        <v>90</v>
      </c>
      <c r="F40" s="2" t="n">
        <v>30</v>
      </c>
      <c r="G40" s="2" t="n">
        <v>1</v>
      </c>
      <c r="H40" s="7">
        <f>IF(F40&gt;0,G40/F40*100,"")</f>
        <v/>
      </c>
      <c r="I40" s="7" t="n">
        <v>-88.40000000000001</v>
      </c>
      <c r="J40" s="2" t="inlineStr">
        <is>
          <t>orientacao quase ortogonal, leitura instavel.</t>
        </is>
      </c>
    </row>
    <row r="41">
      <c r="A41" s="2" t="n">
        <v>150</v>
      </c>
      <c r="B41" s="2" t="n">
        <v>240</v>
      </c>
      <c r="C41" s="7" t="n">
        <v>2</v>
      </c>
      <c r="D41" s="2" t="inlineStr">
        <is>
          <t>TAG240</t>
        </is>
      </c>
      <c r="E41" s="2" t="n">
        <v>0</v>
      </c>
      <c r="F41" s="2" t="n">
        <v>30</v>
      </c>
      <c r="G41" s="2" t="n">
        <v>24</v>
      </c>
      <c r="H41" s="7">
        <f>IF(F41&gt;0,G41/F41*100,"")</f>
        <v/>
      </c>
      <c r="I41" s="7" t="n">
        <v>-68.7</v>
      </c>
      <c r="J41" s="2" t="inlineStr">
        <is>
          <t>referencia alinhada com a antena linear.</t>
        </is>
      </c>
    </row>
    <row r="42" ht="30" customHeight="1">
      <c r="A42" s="2" t="n">
        <v>150</v>
      </c>
      <c r="B42" s="2" t="n">
        <v>240</v>
      </c>
      <c r="C42" s="7" t="n">
        <v>2</v>
      </c>
      <c r="D42" s="2" t="inlineStr">
        <is>
          <t>TAG240</t>
        </is>
      </c>
      <c r="E42" s="2" t="n">
        <v>45</v>
      </c>
      <c r="F42" s="2" t="n">
        <v>30</v>
      </c>
      <c r="G42" s="2" t="n">
        <v>15</v>
      </c>
      <c r="H42" s="7">
        <f>IF(F42&gt;0,G42/F42*100,"")</f>
        <v/>
      </c>
      <c r="I42" s="7" t="n">
        <v>-77.7</v>
      </c>
      <c r="J42" s="2" t="inlineStr">
        <is>
          <t>perda intermediaria por desalinhamento angular.</t>
        </is>
      </c>
    </row>
    <row r="43" ht="30" customHeight="1">
      <c r="A43" s="2" t="n">
        <v>150</v>
      </c>
      <c r="B43" s="2" t="n">
        <v>240</v>
      </c>
      <c r="C43" s="7" t="n">
        <v>2</v>
      </c>
      <c r="D43" s="2" t="inlineStr">
        <is>
          <t>TAG240</t>
        </is>
      </c>
      <c r="E43" s="2" t="n">
        <v>90</v>
      </c>
      <c r="F43" s="2" t="n">
        <v>30</v>
      </c>
      <c r="G43" s="2" t="n">
        <v>2</v>
      </c>
      <c r="H43" s="7">
        <f>IF(F43&gt;0,G43/F43*100,"")</f>
        <v/>
      </c>
      <c r="I43" s="7" t="n">
        <v>-88.7</v>
      </c>
      <c r="J43" s="2" t="inlineStr">
        <is>
          <t>orientacao quase ortogonal, leitura instavel.</t>
        </is>
      </c>
    </row>
    <row r="44">
      <c r="A44" s="2" t="n">
        <v>150</v>
      </c>
      <c r="B44" s="2" t="n">
        <v>250</v>
      </c>
      <c r="C44" s="7" t="n">
        <v>2</v>
      </c>
      <c r="D44" s="2" t="inlineStr">
        <is>
          <t>TAG250</t>
        </is>
      </c>
      <c r="E44" s="2" t="n">
        <v>0</v>
      </c>
      <c r="F44" s="2" t="n">
        <v>30</v>
      </c>
      <c r="G44" s="2" t="n">
        <v>23</v>
      </c>
      <c r="H44" s="7">
        <f>IF(F44&gt;0,G44/F44*100,"")</f>
        <v/>
      </c>
      <c r="I44" s="7" t="n">
        <v>-69.2</v>
      </c>
      <c r="J44" s="2" t="inlineStr">
        <is>
          <t>referencia alinhada com a antena linear.</t>
        </is>
      </c>
    </row>
    <row r="45" ht="30" customHeight="1">
      <c r="A45" s="2" t="n">
        <v>150</v>
      </c>
      <c r="B45" s="2" t="n">
        <v>250</v>
      </c>
      <c r="C45" s="7" t="n">
        <v>2</v>
      </c>
      <c r="D45" s="2" t="inlineStr">
        <is>
          <t>TAG250</t>
        </is>
      </c>
      <c r="E45" s="2" t="n">
        <v>45</v>
      </c>
      <c r="F45" s="2" t="n">
        <v>30</v>
      </c>
      <c r="G45" s="2" t="n">
        <v>14</v>
      </c>
      <c r="H45" s="7">
        <f>IF(F45&gt;0,G45/F45*100,"")</f>
        <v/>
      </c>
      <c r="I45" s="7" t="n">
        <v>-78.2</v>
      </c>
      <c r="J45" s="2" t="inlineStr">
        <is>
          <t>perda intermediaria por desalinhamento angular.</t>
        </is>
      </c>
    </row>
    <row r="46" ht="30" customHeight="1">
      <c r="A46" s="2" t="n">
        <v>150</v>
      </c>
      <c r="B46" s="2" t="n">
        <v>250</v>
      </c>
      <c r="C46" s="7" t="n">
        <v>2</v>
      </c>
      <c r="D46" s="2" t="inlineStr">
        <is>
          <t>TAG250</t>
        </is>
      </c>
      <c r="E46" s="2" t="n">
        <v>90</v>
      </c>
      <c r="F46" s="2" t="n">
        <v>30</v>
      </c>
      <c r="G46" s="2" t="n">
        <v>1</v>
      </c>
      <c r="H46" s="7">
        <f>IF(F46&gt;0,G46/F46*100,"")</f>
        <v/>
      </c>
      <c r="I46" s="7" t="n">
        <v>-89.2</v>
      </c>
      <c r="J46" s="2" t="inlineStr">
        <is>
          <t>orientacao quase ortogonal, leitura instavel.</t>
        </is>
      </c>
    </row>
  </sheetData>
  <autoFilter ref="A1:J4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1" topLeftCell="A2" activePane="bottomLeft" state="frozen"/>
      <selection activeCell="A1" sqref="A1"/>
      <selection pane="bottomLeft" activeCell="K2" sqref="K2"/>
    </sheetView>
  </sheetViews>
  <sheetFormatPr baseColWidth="8" defaultColWidth="9" defaultRowHeight="15" outlineLevelRow="6"/>
  <cols>
    <col width="18" customWidth="1" min="1" max="1"/>
    <col width="16" customWidth="1" min="2" max="2"/>
    <col width="13" customWidth="1" min="3" max="3"/>
    <col width="14" customWidth="1" min="4" max="4"/>
    <col width="22" customWidth="1" min="5" max="5"/>
    <col width="14" customWidth="1" min="6" max="6"/>
    <col width="12" customWidth="1" min="7" max="7"/>
    <col width="16" customWidth="1" min="8" max="9"/>
    <col width="12" customWidth="1" min="10" max="10"/>
    <col width="45" customWidth="1" min="11" max="11"/>
  </cols>
  <sheetData>
    <row r="1" ht="30" customHeight="1">
      <c r="A1" s="1" t="inlineStr">
        <is>
          <t>altura_antena_cm</t>
        </is>
      </c>
      <c r="B1" s="1" t="inlineStr">
        <is>
          <t>altura_tag_cm</t>
        </is>
      </c>
      <c r="C1" s="1" t="inlineStr">
        <is>
          <t>distancia_m</t>
        </is>
      </c>
      <c r="D1" s="1" t="inlineStr">
        <is>
          <t>id_tag</t>
        </is>
      </c>
      <c r="E1" s="1" t="inlineStr">
        <is>
          <t>material/suporte</t>
        </is>
      </c>
      <c r="F1" s="1" t="inlineStr">
        <is>
          <t>espacador_mm</t>
        </is>
      </c>
      <c r="G1" s="1" t="inlineStr">
        <is>
          <t>tentativas</t>
        </is>
      </c>
      <c r="H1" s="1" t="inlineStr">
        <is>
          <t>leituras_validas</t>
        </is>
      </c>
      <c r="I1" s="1" t="inlineStr">
        <is>
          <t>taxa_sucesso_%</t>
        </is>
      </c>
      <c r="J1" s="1" t="inlineStr">
        <is>
          <t>rssi_medio</t>
        </is>
      </c>
      <c r="K1" s="1" t="inlineStr">
        <is>
          <t>observacoes</t>
        </is>
      </c>
    </row>
    <row r="2">
      <c r="A2" s="2" t="n">
        <v>150</v>
      </c>
      <c r="B2" s="2" t="n">
        <v>150</v>
      </c>
      <c r="C2" s="7" t="n">
        <v>2</v>
      </c>
      <c r="D2" s="2" t="inlineStr">
        <is>
          <t>TAG150</t>
        </is>
      </c>
      <c r="E2" s="2" t="inlineStr">
        <is>
          <t>Papelao</t>
        </is>
      </c>
      <c r="F2" s="2" t="inlineStr"/>
      <c r="G2" s="2" t="n">
        <v>30</v>
      </c>
      <c r="H2" s="2" t="n">
        <v>29</v>
      </c>
      <c r="I2" s="7">
        <f>IF(G2&gt;0,H2/G2*100,"")</f>
        <v/>
      </c>
      <c r="J2" s="7" t="n">
        <v>-61.5</v>
      </c>
      <c r="K2" s="2" t="inlineStr">
        <is>
          <t>suporte compativel com etiqueta adesiva comum.</t>
        </is>
      </c>
    </row>
    <row r="3">
      <c r="A3" s="2" t="n">
        <v>150</v>
      </c>
      <c r="B3" s="2" t="n">
        <v>150</v>
      </c>
      <c r="C3" s="7" t="n">
        <v>2</v>
      </c>
      <c r="D3" s="2" t="inlineStr">
        <is>
          <t>TAG150</t>
        </is>
      </c>
      <c r="E3" s="2" t="inlineStr">
        <is>
          <t>Madeira</t>
        </is>
      </c>
      <c r="F3" s="2" t="inlineStr"/>
      <c r="G3" s="2" t="n">
        <v>30</v>
      </c>
      <c r="H3" s="2" t="n">
        <v>28</v>
      </c>
      <c r="I3" s="7">
        <f>IF(G3&gt;0,H3/G3*100,"")</f>
        <v/>
      </c>
      <c r="J3" s="7" t="n">
        <v>-62.5</v>
      </c>
      <c r="K3" s="2" t="inlineStr">
        <is>
          <t>suporte compativel com etiqueta adesiva comum.</t>
        </is>
      </c>
    </row>
    <row r="4">
      <c r="A4" s="2" t="n">
        <v>150</v>
      </c>
      <c r="B4" s="2" t="n">
        <v>150</v>
      </c>
      <c r="C4" s="7" t="n">
        <v>2</v>
      </c>
      <c r="D4" s="2" t="inlineStr">
        <is>
          <t>TAG150</t>
        </is>
      </c>
      <c r="E4" s="2" t="inlineStr">
        <is>
          <t>Plastico</t>
        </is>
      </c>
      <c r="F4" s="2" t="inlineStr"/>
      <c r="G4" s="2" t="n">
        <v>30</v>
      </c>
      <c r="H4" s="2" t="n">
        <v>27</v>
      </c>
      <c r="I4" s="7">
        <f>IF(G4&gt;0,H4/G4*100,"")</f>
        <v/>
      </c>
      <c r="J4" s="7" t="n">
        <v>-64</v>
      </c>
      <c r="K4" s="2" t="inlineStr">
        <is>
          <t>suporte compativel com etiqueta adesiva comum.</t>
        </is>
      </c>
    </row>
    <row r="5">
      <c r="A5" s="2" t="n">
        <v>150</v>
      </c>
      <c r="B5" s="2" t="n">
        <v>150</v>
      </c>
      <c r="C5" s="7" t="n">
        <v>2</v>
      </c>
      <c r="D5" s="2" t="inlineStr">
        <is>
          <t>TAG150</t>
        </is>
      </c>
      <c r="E5" s="2" t="inlineStr">
        <is>
          <t>Vidro</t>
        </is>
      </c>
      <c r="F5" s="2" t="inlineStr"/>
      <c r="G5" s="2" t="n">
        <v>30</v>
      </c>
      <c r="H5" s="2" t="n">
        <v>25</v>
      </c>
      <c r="I5" s="7">
        <f>IF(G5&gt;0,H5/G5*100,"")</f>
        <v/>
      </c>
      <c r="J5" s="7" t="n">
        <v>-66.5</v>
      </c>
      <c r="K5" s="2" t="inlineStr">
        <is>
          <t>suporte compativel com etiqueta adesiva comum.</t>
        </is>
      </c>
    </row>
    <row r="6" ht="30" customHeight="1">
      <c r="A6" s="2" t="n">
        <v>150</v>
      </c>
      <c r="B6" s="2" t="n">
        <v>150</v>
      </c>
      <c r="C6" s="7" t="n">
        <v>2</v>
      </c>
      <c r="D6" s="2" t="inlineStr">
        <is>
          <t>TAG150</t>
        </is>
      </c>
      <c r="E6" s="2" t="inlineStr">
        <is>
          <t>Metal direto</t>
        </is>
      </c>
      <c r="F6" s="2" t="n">
        <v>0</v>
      </c>
      <c r="G6" s="2" t="n">
        <v>30</v>
      </c>
      <c r="H6" s="2" t="n">
        <v>3</v>
      </c>
      <c r="I6" s="7">
        <f>IF(G6&gt;0,H6/G6*100,"")</f>
        <v/>
      </c>
      <c r="J6" s="7" t="n">
        <v>-88</v>
      </c>
      <c r="K6" s="2" t="inlineStr">
        <is>
          <t>degradacao forte; AD-239 M730 nao e tag on-metal.</t>
        </is>
      </c>
    </row>
    <row r="7" ht="30" customHeight="1">
      <c r="A7" s="2" t="n">
        <v>150</v>
      </c>
      <c r="B7" s="2" t="n">
        <v>150</v>
      </c>
      <c r="C7" s="7" t="n">
        <v>2</v>
      </c>
      <c r="D7" s="2" t="inlineStr">
        <is>
          <t>TAG150</t>
        </is>
      </c>
      <c r="E7" s="2" t="inlineStr">
        <is>
          <t>Metal com espacador</t>
        </is>
      </c>
      <c r="F7" s="2" t="n">
        <v>10</v>
      </c>
      <c r="G7" s="2" t="n">
        <v>30</v>
      </c>
      <c r="H7" s="2" t="n">
        <v>12</v>
      </c>
      <c r="I7" s="7">
        <f>IF(G7&gt;0,H7/G7*100,"")</f>
        <v/>
      </c>
      <c r="J7" s="7" t="n">
        <v>-78</v>
      </c>
      <c r="K7" s="2" t="inlineStr">
        <is>
          <t>espacador reduz a degradacao, mas nao iguala suporte nao metalico.</t>
        </is>
      </c>
    </row>
  </sheetData>
  <autoFilter ref="A1:K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pane ySplit="1" topLeftCell="A2" activePane="bottomLeft" state="frozen"/>
      <selection activeCell="A1" sqref="A1"/>
      <selection pane="bottomLeft" activeCell="G37" sqref="G37"/>
    </sheetView>
  </sheetViews>
  <sheetFormatPr baseColWidth="8" defaultColWidth="9" defaultRowHeight="15"/>
  <cols>
    <col width="10" customWidth="1" min="1" max="1"/>
    <col width="18" customWidth="1" min="2" max="5"/>
    <col width="14" customWidth="1" min="6" max="6"/>
    <col width="26" customWidth="1" min="7" max="7"/>
    <col width="18" customWidth="1" min="8" max="8"/>
    <col width="16" customWidth="1" min="9" max="9"/>
    <col width="28" customWidth="1" min="10" max="10"/>
    <col width="45" customWidth="1" min="11" max="11"/>
  </cols>
  <sheetData>
    <row r="1" ht="30" customHeight="1">
      <c r="A1" s="1" t="inlineStr">
        <is>
          <t>rodada</t>
        </is>
      </c>
      <c r="B1" s="1" t="inlineStr">
        <is>
          <t>altura_antena_cm</t>
        </is>
      </c>
      <c r="C1" s="1" t="inlineStr">
        <is>
          <t>duracao_janela_s</t>
        </is>
      </c>
      <c r="D1" s="1" t="inlineStr">
        <is>
          <t>qtd_tags_presentes</t>
        </is>
      </c>
      <c r="E1" s="1" t="inlineStr">
        <is>
          <t>qtd_tags_detectadas</t>
        </is>
      </c>
      <c r="F1" s="1" t="inlineStr">
        <is>
          <t>cobertura_%</t>
        </is>
      </c>
      <c r="G1" s="1" t="inlineStr">
        <is>
          <t>tempo_ate_detectar_todas_s</t>
        </is>
      </c>
      <c r="H1" s="1" t="inlineStr">
        <is>
          <t>leituras_duplicadas</t>
        </is>
      </c>
      <c r="I1" s="1" t="inlineStr">
        <is>
          <t>leituras_externas</t>
        </is>
      </c>
      <c r="J1" s="1" t="inlineStr">
        <is>
          <t>rota/posicao_operador</t>
        </is>
      </c>
      <c r="K1" s="1" t="inlineStr">
        <is>
          <t>observacoes</t>
        </is>
      </c>
    </row>
    <row r="2">
      <c r="A2" s="2" t="n">
        <v>1</v>
      </c>
      <c r="B2" s="2" t="n">
        <v>150</v>
      </c>
      <c r="C2" s="2" t="n">
        <v>10</v>
      </c>
      <c r="D2" s="2" t="n">
        <v>10</v>
      </c>
      <c r="E2" s="2" t="n">
        <v>8</v>
      </c>
      <c r="F2" s="7">
        <f>IF(D2&gt;0,E2/D2*100,"")</f>
        <v/>
      </c>
      <c r="G2" s="2" t="inlineStr"/>
      <c r="H2" s="2" t="n">
        <v>34</v>
      </c>
      <c r="I2" s="2" t="n">
        <v>0</v>
      </c>
      <c r="J2" s="2" t="inlineStr">
        <is>
          <t>rota A - corredor esquerdo</t>
        </is>
      </c>
      <c r="K2" s="2" t="inlineStr">
        <is>
          <t>duas tags em zona fraca.</t>
        </is>
      </c>
    </row>
    <row r="3">
      <c r="A3" s="2" t="n">
        <v>2</v>
      </c>
      <c r="B3" s="2" t="n">
        <v>150</v>
      </c>
      <c r="C3" s="2" t="n">
        <v>10</v>
      </c>
      <c r="D3" s="2" t="n">
        <v>10</v>
      </c>
      <c r="E3" s="2" t="n">
        <v>9</v>
      </c>
      <c r="F3" s="7">
        <f>IF(D3&gt;0,E3/D3*100,"")</f>
        <v/>
      </c>
      <c r="G3" s="2" t="inlineStr"/>
      <c r="H3" s="2" t="n">
        <v>41</v>
      </c>
      <c r="I3" s="2" t="n">
        <v>1</v>
      </c>
      <c r="J3" s="2" t="inlineStr">
        <is>
          <t>rota A - corredor esquerdo</t>
        </is>
      </c>
      <c r="K3" s="2" t="inlineStr">
        <is>
          <t>uma leitura externa ocasional.</t>
        </is>
      </c>
    </row>
    <row r="4">
      <c r="A4" s="2" t="n">
        <v>3</v>
      </c>
      <c r="B4" s="2" t="n">
        <v>150</v>
      </c>
      <c r="C4" s="2" t="n">
        <v>10</v>
      </c>
      <c r="D4" s="2" t="n">
        <v>10</v>
      </c>
      <c r="E4" s="2" t="n">
        <v>9</v>
      </c>
      <c r="F4" s="7">
        <f>IF(D4&gt;0,E4/D4*100,"")</f>
        <v/>
      </c>
      <c r="G4" s="2" t="inlineStr"/>
      <c r="H4" s="2" t="n">
        <v>45</v>
      </c>
      <c r="I4" s="2" t="n">
        <v>0</v>
      </c>
      <c r="J4" s="2" t="inlineStr">
        <is>
          <t>rota B - centro da sala</t>
        </is>
      </c>
      <c r="K4" s="2" t="inlineStr">
        <is>
          <t>boa cobertura com duplicatas esperadas.</t>
        </is>
      </c>
    </row>
    <row r="5">
      <c r="A5" s="2" t="n">
        <v>4</v>
      </c>
      <c r="B5" s="2" t="n">
        <v>150</v>
      </c>
      <c r="C5" s="2" t="n">
        <v>10</v>
      </c>
      <c r="D5" s="2" t="n">
        <v>10</v>
      </c>
      <c r="E5" s="2" t="n">
        <v>10</v>
      </c>
      <c r="F5" s="7">
        <f>IF(D5&gt;0,E5/D5*100,"")</f>
        <v/>
      </c>
      <c r="G5" s="7" t="n">
        <v>5.4</v>
      </c>
      <c r="H5" s="2" t="n">
        <v>52</v>
      </c>
      <c r="I5" s="2" t="n">
        <v>0</v>
      </c>
      <c r="J5" s="2" t="inlineStr">
        <is>
          <t>rota B - centro da sala</t>
        </is>
      </c>
      <c r="K5" s="2" t="inlineStr">
        <is>
          <t>todos EPCs detectados.</t>
        </is>
      </c>
    </row>
    <row r="6">
      <c r="A6" s="2" t="n">
        <v>5</v>
      </c>
      <c r="B6" s="2" t="n">
        <v>150</v>
      </c>
      <c r="C6" s="2" t="n">
        <v>10</v>
      </c>
      <c r="D6" s="2" t="n">
        <v>10</v>
      </c>
      <c r="E6" s="2" t="n">
        <v>9</v>
      </c>
      <c r="F6" s="7">
        <f>IF(D6&gt;0,E6/D6*100,"")</f>
        <v/>
      </c>
      <c r="G6" s="2" t="inlineStr"/>
      <c r="H6" s="2" t="n">
        <v>39</v>
      </c>
      <c r="I6" s="2" t="n">
        <v>0</v>
      </c>
      <c r="J6" s="2" t="inlineStr">
        <is>
          <t>rota C - proximo aos armarios</t>
        </is>
      </c>
      <c r="K6" s="2" t="inlineStr">
        <is>
          <t>falha em item baixo.</t>
        </is>
      </c>
    </row>
    <row r="7">
      <c r="A7" s="2" t="n">
        <v>6</v>
      </c>
      <c r="B7" s="2" t="n">
        <v>150</v>
      </c>
      <c r="C7" s="2" t="n">
        <v>10</v>
      </c>
      <c r="D7" s="2" t="n">
        <v>10</v>
      </c>
      <c r="E7" s="2" t="n">
        <v>10</v>
      </c>
      <c r="F7" s="7">
        <f>IF(D7&gt;0,E7/D7*100,"")</f>
        <v/>
      </c>
      <c r="G7" s="7" t="n">
        <v>5.8</v>
      </c>
      <c r="H7" s="2" t="n">
        <v>57</v>
      </c>
      <c r="I7" s="2" t="n">
        <v>0</v>
      </c>
      <c r="J7" s="2" t="inlineStr">
        <is>
          <t>rota C - proximo aos armarios</t>
        </is>
      </c>
      <c r="K7" s="2" t="inlineStr">
        <is>
          <t>todos EPCs detectados.</t>
        </is>
      </c>
    </row>
    <row r="8">
      <c r="A8" s="2" t="n">
        <v>7</v>
      </c>
      <c r="B8" s="2" t="n">
        <v>150</v>
      </c>
      <c r="C8" s="2" t="n">
        <v>10</v>
      </c>
      <c r="D8" s="2" t="n">
        <v>10</v>
      </c>
      <c r="E8" s="2" t="n">
        <v>8</v>
      </c>
      <c r="F8" s="7">
        <f>IF(D8&gt;0,E8/D8*100,"")</f>
        <v/>
      </c>
      <c r="G8" s="2" t="inlineStr"/>
      <c r="H8" s="2" t="n">
        <v>31</v>
      </c>
      <c r="I8" s="2" t="n">
        <v>0</v>
      </c>
      <c r="J8" s="2" t="inlineStr">
        <is>
          <t>rota D - passagem rapida</t>
        </is>
      </c>
      <c r="K8" s="2" t="inlineStr">
        <is>
          <t>velocidade reduziu a cobertura.</t>
        </is>
      </c>
    </row>
    <row r="9">
      <c r="A9" s="2" t="n">
        <v>8</v>
      </c>
      <c r="B9" s="2" t="n">
        <v>150</v>
      </c>
      <c r="C9" s="2" t="n">
        <v>10</v>
      </c>
      <c r="D9" s="2" t="n">
        <v>10</v>
      </c>
      <c r="E9" s="2" t="n">
        <v>9</v>
      </c>
      <c r="F9" s="7">
        <f>IF(D9&gt;0,E9/D9*100,"")</f>
        <v/>
      </c>
      <c r="G9" s="2" t="inlineStr"/>
      <c r="H9" s="2" t="n">
        <v>44</v>
      </c>
      <c r="I9" s="2" t="n">
        <v>0</v>
      </c>
      <c r="J9" s="2" t="inlineStr">
        <is>
          <t>rota D - passagem rapida</t>
        </is>
      </c>
      <c r="K9" s="2" t="inlineStr">
        <is>
          <t>cobertura parcial.</t>
        </is>
      </c>
    </row>
    <row r="10">
      <c r="A10" s="2" t="n">
        <v>9</v>
      </c>
      <c r="B10" s="2" t="n">
        <v>150</v>
      </c>
      <c r="C10" s="2" t="n">
        <v>10</v>
      </c>
      <c r="D10" s="2" t="n">
        <v>10</v>
      </c>
      <c r="E10" s="2" t="n">
        <v>10</v>
      </c>
      <c r="F10" s="7">
        <f>IF(D10&gt;0,E10/D10*100,"")</f>
        <v/>
      </c>
      <c r="G10" s="7" t="n">
        <v>5.5</v>
      </c>
      <c r="H10" s="2" t="n">
        <v>61</v>
      </c>
      <c r="I10" s="2" t="n">
        <v>1</v>
      </c>
      <c r="J10" s="2" t="inlineStr">
        <is>
          <t>rota E - varredura lenta</t>
        </is>
      </c>
      <c r="K10" s="2" t="inlineStr">
        <is>
          <t>todos EPCs presentes e uma leitura externa.</t>
        </is>
      </c>
    </row>
    <row r="11">
      <c r="A11" s="2" t="n">
        <v>10</v>
      </c>
      <c r="B11" s="2" t="n">
        <v>150</v>
      </c>
      <c r="C11" s="2" t="n">
        <v>10</v>
      </c>
      <c r="D11" s="2" t="n">
        <v>10</v>
      </c>
      <c r="E11" s="2" t="n">
        <v>9</v>
      </c>
      <c r="F11" s="7">
        <f>IF(D11&gt;0,E11/D11*100,"")</f>
        <v/>
      </c>
      <c r="G11" s="2" t="inlineStr"/>
      <c r="H11" s="2" t="n">
        <v>48</v>
      </c>
      <c r="I11" s="2" t="n">
        <v>0</v>
      </c>
      <c r="J11" s="2" t="inlineStr">
        <is>
          <t>rota E - varredura lenta</t>
        </is>
      </c>
      <c r="K11" s="2" t="inlineStr">
        <is>
          <t>uma tag em metal com espacador nao respondeu.</t>
        </is>
      </c>
    </row>
  </sheetData>
  <autoFilter ref="A1:K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1"/>
  <sheetViews>
    <sheetView showGridLines="0" workbookViewId="0">
      <pane ySplit="1" topLeftCell="A2" activePane="bottomLeft" state="frozen"/>
      <selection activeCell="A1" sqref="A1"/>
      <selection pane="bottomLeft" activeCell="I2" sqref="I2"/>
    </sheetView>
  </sheetViews>
  <sheetFormatPr baseColWidth="8" defaultColWidth="9" defaultRowHeight="15"/>
  <cols>
    <col width="18" customWidth="1" min="1" max="1"/>
    <col width="16" customWidth="1" min="2" max="2"/>
    <col width="13" customWidth="1" min="3" max="3"/>
    <col width="14" customWidth="1" min="4" max="4"/>
    <col width="12" customWidth="1" min="5" max="5"/>
    <col width="20" customWidth="1" min="6" max="6"/>
    <col width="18" customWidth="1" min="7" max="7"/>
    <col width="16" customWidth="1" min="8" max="8"/>
    <col width="40" customWidth="1" min="9" max="9"/>
  </cols>
  <sheetData>
    <row r="1" ht="30" customHeight="1">
      <c r="A1" s="1" t="inlineStr">
        <is>
          <t>altura_antena_cm</t>
        </is>
      </c>
      <c r="B1" s="1" t="inlineStr">
        <is>
          <t>altura_tag_cm</t>
        </is>
      </c>
      <c r="C1" s="1" t="inlineStr">
        <is>
          <t>distancia_m</t>
        </is>
      </c>
      <c r="D1" s="1" t="inlineStr">
        <is>
          <t>velocidade</t>
        </is>
      </c>
      <c r="E1" s="1" t="inlineStr">
        <is>
          <t>passagens</t>
        </is>
      </c>
      <c r="F1" s="1" t="inlineStr">
        <is>
          <t>passagens_detectadas</t>
        </is>
      </c>
      <c r="G1" s="1" t="inlineStr">
        <is>
          <t>taxa_detectada_%</t>
        </is>
      </c>
      <c r="H1" s="1" t="inlineStr">
        <is>
          <t>orientacao_graus</t>
        </is>
      </c>
      <c r="I1" s="1" t="inlineStr">
        <is>
          <t>observacoes</t>
        </is>
      </c>
    </row>
    <row r="2">
      <c r="A2" s="2" t="n">
        <v>150</v>
      </c>
      <c r="B2" s="2" t="n">
        <v>110</v>
      </c>
      <c r="C2" s="7" t="n">
        <v>0.5</v>
      </c>
      <c r="D2" s="2" t="inlineStr">
        <is>
          <t>lenta</t>
        </is>
      </c>
      <c r="E2" s="2" t="n">
        <v>20</v>
      </c>
      <c r="F2" s="2" t="n">
        <v>18</v>
      </c>
      <c r="G2" s="7">
        <f>IF(E2&gt;0,F2/E2*100,"")</f>
        <v/>
      </c>
      <c r="H2" s="2" t="n">
        <v>0</v>
      </c>
      <c r="I2" s="2" t="inlineStr">
        <is>
          <t>deteccao estavel em passagem lenta.</t>
        </is>
      </c>
    </row>
    <row r="3">
      <c r="A3" s="2" t="n">
        <v>150</v>
      </c>
      <c r="B3" s="2" t="n">
        <v>110</v>
      </c>
      <c r="C3" s="7" t="n">
        <v>1</v>
      </c>
      <c r="D3" s="2" t="inlineStr">
        <is>
          <t>lenta</t>
        </is>
      </c>
      <c r="E3" s="2" t="n">
        <v>20</v>
      </c>
      <c r="F3" s="2" t="n">
        <v>18</v>
      </c>
      <c r="G3" s="7">
        <f>IF(E3&gt;0,F3/E3*100,"")</f>
        <v/>
      </c>
      <c r="H3" s="2" t="n">
        <v>0</v>
      </c>
      <c r="I3" s="2" t="inlineStr">
        <is>
          <t>deteccao estavel em passagem lenta.</t>
        </is>
      </c>
    </row>
    <row r="4" ht="30" customHeight="1">
      <c r="A4" s="2" t="n">
        <v>150</v>
      </c>
      <c r="B4" s="2" t="n">
        <v>110</v>
      </c>
      <c r="C4" s="7" t="n">
        <v>1.5</v>
      </c>
      <c r="D4" s="2" t="inlineStr">
        <is>
          <t>lenta</t>
        </is>
      </c>
      <c r="E4" s="2" t="n">
        <v>20</v>
      </c>
      <c r="F4" s="2" t="n">
        <v>13</v>
      </c>
      <c r="G4" s="7">
        <f>IF(E4&gt;0,F4/E4*100,"")</f>
        <v/>
      </c>
      <c r="H4" s="2" t="n">
        <v>0</v>
      </c>
      <c r="I4" s="2" t="inlineStr">
        <is>
          <t>deteccao parcial; uma zona nao determina sentido.</t>
        </is>
      </c>
    </row>
    <row r="5" ht="30" customHeight="1">
      <c r="A5" s="2" t="n">
        <v>150</v>
      </c>
      <c r="B5" s="2" t="n">
        <v>110</v>
      </c>
      <c r="C5" s="7" t="n">
        <v>2</v>
      </c>
      <c r="D5" s="2" t="inlineStr">
        <is>
          <t>lenta</t>
        </is>
      </c>
      <c r="E5" s="2" t="n">
        <v>20</v>
      </c>
      <c r="F5" s="2" t="n">
        <v>8</v>
      </c>
      <c r="G5" s="7">
        <f>IF(E5&gt;0,F5/E5*100,"")</f>
        <v/>
      </c>
      <c r="H5" s="2" t="n">
        <v>0</v>
      </c>
      <c r="I5" s="2" t="inlineStr">
        <is>
          <t>passagem pouco repetivel nesta distancia/altura.</t>
        </is>
      </c>
    </row>
    <row r="6">
      <c r="A6" s="2" t="n">
        <v>150</v>
      </c>
      <c r="B6" s="2" t="n">
        <v>120</v>
      </c>
      <c r="C6" s="7" t="n">
        <v>0.5</v>
      </c>
      <c r="D6" s="2" t="inlineStr">
        <is>
          <t>lenta</t>
        </is>
      </c>
      <c r="E6" s="2" t="n">
        <v>20</v>
      </c>
      <c r="F6" s="2" t="n">
        <v>18</v>
      </c>
      <c r="G6" s="7">
        <f>IF(E6&gt;0,F6/E6*100,"")</f>
        <v/>
      </c>
      <c r="H6" s="2" t="n">
        <v>0</v>
      </c>
      <c r="I6" s="2" t="inlineStr">
        <is>
          <t>deteccao estavel em passagem lenta.</t>
        </is>
      </c>
    </row>
    <row r="7">
      <c r="A7" s="2" t="n">
        <v>150</v>
      </c>
      <c r="B7" s="2" t="n">
        <v>120</v>
      </c>
      <c r="C7" s="7" t="n">
        <v>1</v>
      </c>
      <c r="D7" s="2" t="inlineStr">
        <is>
          <t>lenta</t>
        </is>
      </c>
      <c r="E7" s="2" t="n">
        <v>20</v>
      </c>
      <c r="F7" s="2" t="n">
        <v>18</v>
      </c>
      <c r="G7" s="7">
        <f>IF(E7&gt;0,F7/E7*100,"")</f>
        <v/>
      </c>
      <c r="H7" s="2" t="n">
        <v>0</v>
      </c>
      <c r="I7" s="2" t="inlineStr">
        <is>
          <t>deteccao estavel em passagem lenta.</t>
        </is>
      </c>
    </row>
    <row r="8" ht="30" customHeight="1">
      <c r="A8" s="2" t="n">
        <v>150</v>
      </c>
      <c r="B8" s="2" t="n">
        <v>120</v>
      </c>
      <c r="C8" s="7" t="n">
        <v>1.5</v>
      </c>
      <c r="D8" s="2" t="inlineStr">
        <is>
          <t>lenta</t>
        </is>
      </c>
      <c r="E8" s="2" t="n">
        <v>20</v>
      </c>
      <c r="F8" s="2" t="n">
        <v>16</v>
      </c>
      <c r="G8" s="7">
        <f>IF(E8&gt;0,F8/E8*100,"")</f>
        <v/>
      </c>
      <c r="H8" s="2" t="n">
        <v>0</v>
      </c>
      <c r="I8" s="2" t="inlineStr">
        <is>
          <t>deteccao parcial; uma zona nao determina sentido.</t>
        </is>
      </c>
    </row>
    <row r="9" ht="30" customHeight="1">
      <c r="A9" s="2" t="n">
        <v>150</v>
      </c>
      <c r="B9" s="2" t="n">
        <v>120</v>
      </c>
      <c r="C9" s="7" t="n">
        <v>2</v>
      </c>
      <c r="D9" s="2" t="inlineStr">
        <is>
          <t>lenta</t>
        </is>
      </c>
      <c r="E9" s="2" t="n">
        <v>20</v>
      </c>
      <c r="F9" s="2" t="n">
        <v>8</v>
      </c>
      <c r="G9" s="7">
        <f>IF(E9&gt;0,F9/E9*100,"")</f>
        <v/>
      </c>
      <c r="H9" s="2" t="n">
        <v>0</v>
      </c>
      <c r="I9" s="2" t="inlineStr">
        <is>
          <t>passagem pouco repetivel nesta distancia/altura.</t>
        </is>
      </c>
    </row>
    <row r="10">
      <c r="A10" s="2" t="n">
        <v>150</v>
      </c>
      <c r="B10" s="2" t="n">
        <v>130</v>
      </c>
      <c r="C10" s="7" t="n">
        <v>0.5</v>
      </c>
      <c r="D10" s="2" t="inlineStr">
        <is>
          <t>lenta</t>
        </is>
      </c>
      <c r="E10" s="2" t="n">
        <v>20</v>
      </c>
      <c r="F10" s="2" t="n">
        <v>20</v>
      </c>
      <c r="G10" s="7">
        <f>IF(E10&gt;0,F10/E10*100,"")</f>
        <v/>
      </c>
      <c r="H10" s="2" t="n">
        <v>0</v>
      </c>
      <c r="I10" s="2" t="inlineStr">
        <is>
          <t>deteccao estavel em passagem lenta.</t>
        </is>
      </c>
    </row>
    <row r="11" ht="30" customHeight="1">
      <c r="A11" s="2" t="n">
        <v>150</v>
      </c>
      <c r="B11" s="2" t="n">
        <v>130</v>
      </c>
      <c r="C11" s="7" t="n">
        <v>1</v>
      </c>
      <c r="D11" s="2" t="inlineStr">
        <is>
          <t>lenta</t>
        </is>
      </c>
      <c r="E11" s="2" t="n">
        <v>20</v>
      </c>
      <c r="F11" s="2" t="n">
        <v>17</v>
      </c>
      <c r="G11" s="7">
        <f>IF(E11&gt;0,F11/E11*100,"")</f>
        <v/>
      </c>
      <c r="H11" s="2" t="n">
        <v>0</v>
      </c>
      <c r="I11" s="2" t="inlineStr">
        <is>
          <t>deteccao parcial; uma zona nao determina sentido.</t>
        </is>
      </c>
    </row>
    <row r="12" ht="30" customHeight="1">
      <c r="A12" s="2" t="n">
        <v>150</v>
      </c>
      <c r="B12" s="2" t="n">
        <v>130</v>
      </c>
      <c r="C12" s="7" t="n">
        <v>1.5</v>
      </c>
      <c r="D12" s="2" t="inlineStr">
        <is>
          <t>lenta</t>
        </is>
      </c>
      <c r="E12" s="2" t="n">
        <v>20</v>
      </c>
      <c r="F12" s="2" t="n">
        <v>15</v>
      </c>
      <c r="G12" s="7">
        <f>IF(E12&gt;0,F12/E12*100,"")</f>
        <v/>
      </c>
      <c r="H12" s="2" t="n">
        <v>0</v>
      </c>
      <c r="I12" s="2" t="inlineStr">
        <is>
          <t>deteccao parcial; uma zona nao determina sentido.</t>
        </is>
      </c>
    </row>
    <row r="13" ht="30" customHeight="1">
      <c r="A13" s="2" t="n">
        <v>150</v>
      </c>
      <c r="B13" s="2" t="n">
        <v>130</v>
      </c>
      <c r="C13" s="7" t="n">
        <v>2</v>
      </c>
      <c r="D13" s="2" t="inlineStr">
        <is>
          <t>lenta</t>
        </is>
      </c>
      <c r="E13" s="2" t="n">
        <v>20</v>
      </c>
      <c r="F13" s="2" t="n">
        <v>10</v>
      </c>
      <c r="G13" s="7">
        <f>IF(E13&gt;0,F13/E13*100,"")</f>
        <v/>
      </c>
      <c r="H13" s="2" t="n">
        <v>0</v>
      </c>
      <c r="I13" s="2" t="inlineStr">
        <is>
          <t>deteccao parcial; uma zona nao determina sentido.</t>
        </is>
      </c>
    </row>
    <row r="14">
      <c r="A14" s="2" t="n">
        <v>150</v>
      </c>
      <c r="B14" s="2" t="n">
        <v>140</v>
      </c>
      <c r="C14" s="7" t="n">
        <v>0.5</v>
      </c>
      <c r="D14" s="2" t="inlineStr">
        <is>
          <t>lenta</t>
        </is>
      </c>
      <c r="E14" s="2" t="n">
        <v>20</v>
      </c>
      <c r="F14" s="2" t="n">
        <v>20</v>
      </c>
      <c r="G14" s="7">
        <f>IF(E14&gt;0,F14/E14*100,"")</f>
        <v/>
      </c>
      <c r="H14" s="2" t="n">
        <v>0</v>
      </c>
      <c r="I14" s="2" t="inlineStr">
        <is>
          <t>deteccao estavel em passagem lenta.</t>
        </is>
      </c>
    </row>
    <row r="15">
      <c r="A15" s="2" t="n">
        <v>150</v>
      </c>
      <c r="B15" s="2" t="n">
        <v>140</v>
      </c>
      <c r="C15" s="7" t="n">
        <v>1</v>
      </c>
      <c r="D15" s="2" t="inlineStr">
        <is>
          <t>lenta</t>
        </is>
      </c>
      <c r="E15" s="2" t="n">
        <v>20</v>
      </c>
      <c r="F15" s="2" t="n">
        <v>20</v>
      </c>
      <c r="G15" s="7">
        <f>IF(E15&gt;0,F15/E15*100,"")</f>
        <v/>
      </c>
      <c r="H15" s="2" t="n">
        <v>0</v>
      </c>
      <c r="I15" s="2" t="inlineStr">
        <is>
          <t>deteccao estavel em passagem lenta.</t>
        </is>
      </c>
    </row>
    <row r="16" ht="30" customHeight="1">
      <c r="A16" s="2" t="n">
        <v>150</v>
      </c>
      <c r="B16" s="2" t="n">
        <v>140</v>
      </c>
      <c r="C16" s="7" t="n">
        <v>1.5</v>
      </c>
      <c r="D16" s="2" t="inlineStr">
        <is>
          <t>lenta</t>
        </is>
      </c>
      <c r="E16" s="2" t="n">
        <v>20</v>
      </c>
      <c r="F16" s="2" t="n">
        <v>15</v>
      </c>
      <c r="G16" s="7">
        <f>IF(E16&gt;0,F16/E16*100,"")</f>
        <v/>
      </c>
      <c r="H16" s="2" t="n">
        <v>0</v>
      </c>
      <c r="I16" s="2" t="inlineStr">
        <is>
          <t>deteccao parcial; uma zona nao determina sentido.</t>
        </is>
      </c>
    </row>
    <row r="17" ht="30" customHeight="1">
      <c r="A17" s="2" t="n">
        <v>150</v>
      </c>
      <c r="B17" s="2" t="n">
        <v>140</v>
      </c>
      <c r="C17" s="7" t="n">
        <v>2</v>
      </c>
      <c r="D17" s="2" t="inlineStr">
        <is>
          <t>lenta</t>
        </is>
      </c>
      <c r="E17" s="2" t="n">
        <v>20</v>
      </c>
      <c r="F17" s="2" t="n">
        <v>10</v>
      </c>
      <c r="G17" s="7">
        <f>IF(E17&gt;0,F17/E17*100,"")</f>
        <v/>
      </c>
      <c r="H17" s="2" t="n">
        <v>0</v>
      </c>
      <c r="I17" s="2" t="inlineStr">
        <is>
          <t>deteccao parcial; uma zona nao determina sentido.</t>
        </is>
      </c>
    </row>
    <row r="18">
      <c r="A18" s="2" t="n">
        <v>150</v>
      </c>
      <c r="B18" s="2" t="n">
        <v>150</v>
      </c>
      <c r="C18" s="7" t="n">
        <v>0.5</v>
      </c>
      <c r="D18" s="2" t="inlineStr">
        <is>
          <t>lenta</t>
        </is>
      </c>
      <c r="E18" s="2" t="n">
        <v>20</v>
      </c>
      <c r="F18" s="2" t="n">
        <v>19</v>
      </c>
      <c r="G18" s="7">
        <f>IF(E18&gt;0,F18/E18*100,"")</f>
        <v/>
      </c>
      <c r="H18" s="2" t="n">
        <v>0</v>
      </c>
      <c r="I18" s="2" t="inlineStr">
        <is>
          <t>deteccao estavel em passagem lenta.</t>
        </is>
      </c>
    </row>
    <row r="19">
      <c r="A19" s="2" t="n">
        <v>150</v>
      </c>
      <c r="B19" s="2" t="n">
        <v>150</v>
      </c>
      <c r="C19" s="7" t="n">
        <v>1</v>
      </c>
      <c r="D19" s="2" t="inlineStr">
        <is>
          <t>lenta</t>
        </is>
      </c>
      <c r="E19" s="2" t="n">
        <v>20</v>
      </c>
      <c r="F19" s="2" t="n">
        <v>19</v>
      </c>
      <c r="G19" s="7">
        <f>IF(E19&gt;0,F19/E19*100,"")</f>
        <v/>
      </c>
      <c r="H19" s="2" t="n">
        <v>0</v>
      </c>
      <c r="I19" s="2" t="inlineStr">
        <is>
          <t>deteccao estavel em passagem lenta.</t>
        </is>
      </c>
    </row>
    <row r="20" ht="30" customHeight="1">
      <c r="A20" s="2" t="n">
        <v>150</v>
      </c>
      <c r="B20" s="2" t="n">
        <v>150</v>
      </c>
      <c r="C20" s="7" t="n">
        <v>1.5</v>
      </c>
      <c r="D20" s="2" t="inlineStr">
        <is>
          <t>lenta</t>
        </is>
      </c>
      <c r="E20" s="2" t="n">
        <v>20</v>
      </c>
      <c r="F20" s="2" t="n">
        <v>17</v>
      </c>
      <c r="G20" s="7">
        <f>IF(E20&gt;0,F20/E20*100,"")</f>
        <v/>
      </c>
      <c r="H20" s="2" t="n">
        <v>0</v>
      </c>
      <c r="I20" s="2" t="inlineStr">
        <is>
          <t>deteccao parcial; uma zona nao determina sentido.</t>
        </is>
      </c>
    </row>
    <row r="21" ht="30" customHeight="1">
      <c r="A21" s="2" t="n">
        <v>150</v>
      </c>
      <c r="B21" s="2" t="n">
        <v>150</v>
      </c>
      <c r="C21" s="7" t="n">
        <v>2</v>
      </c>
      <c r="D21" s="2" t="inlineStr">
        <is>
          <t>lenta</t>
        </is>
      </c>
      <c r="E21" s="2" t="n">
        <v>20</v>
      </c>
      <c r="F21" s="2" t="n">
        <v>9</v>
      </c>
      <c r="G21" s="7">
        <f>IF(E21&gt;0,F21/E21*100,"")</f>
        <v/>
      </c>
      <c r="H21" s="2" t="n">
        <v>0</v>
      </c>
      <c r="I21" s="2" t="inlineStr">
        <is>
          <t>passagem pouco repetivel nesta distancia/altura.</t>
        </is>
      </c>
    </row>
    <row r="22">
      <c r="A22" s="2" t="n">
        <v>150</v>
      </c>
      <c r="B22" s="2" t="n">
        <v>160</v>
      </c>
      <c r="C22" s="7" t="n">
        <v>0.5</v>
      </c>
      <c r="D22" s="2" t="inlineStr">
        <is>
          <t>lenta</t>
        </is>
      </c>
      <c r="E22" s="2" t="n">
        <v>20</v>
      </c>
      <c r="F22" s="2" t="n">
        <v>20</v>
      </c>
      <c r="G22" s="7">
        <f>IF(E22&gt;0,F22/E22*100,"")</f>
        <v/>
      </c>
      <c r="H22" s="2" t="n">
        <v>0</v>
      </c>
      <c r="I22" s="2" t="inlineStr">
        <is>
          <t>deteccao estavel em passagem lenta.</t>
        </is>
      </c>
    </row>
    <row r="23">
      <c r="A23" s="2" t="n">
        <v>150</v>
      </c>
      <c r="B23" s="2" t="n">
        <v>160</v>
      </c>
      <c r="C23" s="7" t="n">
        <v>1</v>
      </c>
      <c r="D23" s="2" t="inlineStr">
        <is>
          <t>lenta</t>
        </is>
      </c>
      <c r="E23" s="2" t="n">
        <v>20</v>
      </c>
      <c r="F23" s="2" t="n">
        <v>18</v>
      </c>
      <c r="G23" s="7">
        <f>IF(E23&gt;0,F23/E23*100,"")</f>
        <v/>
      </c>
      <c r="H23" s="2" t="n">
        <v>0</v>
      </c>
      <c r="I23" s="2" t="inlineStr">
        <is>
          <t>deteccao estavel em passagem lenta.</t>
        </is>
      </c>
    </row>
    <row r="24" ht="30" customHeight="1">
      <c r="A24" s="2" t="n">
        <v>150</v>
      </c>
      <c r="B24" s="2" t="n">
        <v>160</v>
      </c>
      <c r="C24" s="7" t="n">
        <v>1.5</v>
      </c>
      <c r="D24" s="2" t="inlineStr">
        <is>
          <t>lenta</t>
        </is>
      </c>
      <c r="E24" s="2" t="n">
        <v>20</v>
      </c>
      <c r="F24" s="2" t="n">
        <v>16</v>
      </c>
      <c r="G24" s="7">
        <f>IF(E24&gt;0,F24/E24*100,"")</f>
        <v/>
      </c>
      <c r="H24" s="2" t="n">
        <v>0</v>
      </c>
      <c r="I24" s="2" t="inlineStr">
        <is>
          <t>deteccao parcial; uma zona nao determina sentido.</t>
        </is>
      </c>
    </row>
    <row r="25" ht="30" customHeight="1">
      <c r="A25" s="2" t="n">
        <v>150</v>
      </c>
      <c r="B25" s="2" t="n">
        <v>160</v>
      </c>
      <c r="C25" s="7" t="n">
        <v>2</v>
      </c>
      <c r="D25" s="2" t="inlineStr">
        <is>
          <t>lenta</t>
        </is>
      </c>
      <c r="E25" s="2" t="n">
        <v>20</v>
      </c>
      <c r="F25" s="2" t="n">
        <v>11</v>
      </c>
      <c r="G25" s="7">
        <f>IF(E25&gt;0,F25/E25*100,"")</f>
        <v/>
      </c>
      <c r="H25" s="2" t="n">
        <v>0</v>
      </c>
      <c r="I25" s="2" t="inlineStr">
        <is>
          <t>deteccao parcial; uma zona nao determina sentido.</t>
        </is>
      </c>
    </row>
    <row r="26">
      <c r="A26" s="2" t="n">
        <v>150</v>
      </c>
      <c r="B26" s="2" t="n">
        <v>170</v>
      </c>
      <c r="C26" s="7" t="n">
        <v>0.5</v>
      </c>
      <c r="D26" s="2" t="inlineStr">
        <is>
          <t>lenta</t>
        </is>
      </c>
      <c r="E26" s="2" t="n">
        <v>20</v>
      </c>
      <c r="F26" s="2" t="n">
        <v>19</v>
      </c>
      <c r="G26" s="7">
        <f>IF(E26&gt;0,F26/E26*100,"")</f>
        <v/>
      </c>
      <c r="H26" s="2" t="n">
        <v>0</v>
      </c>
      <c r="I26" s="2" t="inlineStr">
        <is>
          <t>deteccao estavel em passagem lenta.</t>
        </is>
      </c>
    </row>
    <row r="27">
      <c r="A27" s="2" t="n">
        <v>150</v>
      </c>
      <c r="B27" s="2" t="n">
        <v>170</v>
      </c>
      <c r="C27" s="7" t="n">
        <v>1</v>
      </c>
      <c r="D27" s="2" t="inlineStr">
        <is>
          <t>lenta</t>
        </is>
      </c>
      <c r="E27" s="2" t="n">
        <v>20</v>
      </c>
      <c r="F27" s="2" t="n">
        <v>19</v>
      </c>
      <c r="G27" s="7">
        <f>IF(E27&gt;0,F27/E27*100,"")</f>
        <v/>
      </c>
      <c r="H27" s="2" t="n">
        <v>0</v>
      </c>
      <c r="I27" s="2" t="inlineStr">
        <is>
          <t>deteccao estavel em passagem lenta.</t>
        </is>
      </c>
    </row>
    <row r="28" ht="30" customHeight="1">
      <c r="A28" s="2" t="n">
        <v>150</v>
      </c>
      <c r="B28" s="2" t="n">
        <v>170</v>
      </c>
      <c r="C28" s="7" t="n">
        <v>1.5</v>
      </c>
      <c r="D28" s="2" t="inlineStr">
        <is>
          <t>lenta</t>
        </is>
      </c>
      <c r="E28" s="2" t="n">
        <v>20</v>
      </c>
      <c r="F28" s="2" t="n">
        <v>14</v>
      </c>
      <c r="G28" s="7">
        <f>IF(E28&gt;0,F28/E28*100,"")</f>
        <v/>
      </c>
      <c r="H28" s="2" t="n">
        <v>0</v>
      </c>
      <c r="I28" s="2" t="inlineStr">
        <is>
          <t>deteccao parcial; uma zona nao determina sentido.</t>
        </is>
      </c>
    </row>
    <row r="29" ht="30" customHeight="1">
      <c r="A29" s="2" t="n">
        <v>150</v>
      </c>
      <c r="B29" s="2" t="n">
        <v>170</v>
      </c>
      <c r="C29" s="7" t="n">
        <v>2</v>
      </c>
      <c r="D29" s="2" t="inlineStr">
        <is>
          <t>lenta</t>
        </is>
      </c>
      <c r="E29" s="2" t="n">
        <v>20</v>
      </c>
      <c r="F29" s="2" t="n">
        <v>9</v>
      </c>
      <c r="G29" s="7">
        <f>IF(E29&gt;0,F29/E29*100,"")</f>
        <v/>
      </c>
      <c r="H29" s="2" t="n">
        <v>0</v>
      </c>
      <c r="I29" s="2" t="inlineStr">
        <is>
          <t>passagem pouco repetivel nesta distancia/altura.</t>
        </is>
      </c>
    </row>
    <row r="30">
      <c r="A30" s="2" t="n">
        <v>150</v>
      </c>
      <c r="B30" s="2" t="n">
        <v>180</v>
      </c>
      <c r="C30" s="7" t="n">
        <v>0.5</v>
      </c>
      <c r="D30" s="2" t="inlineStr">
        <is>
          <t>lenta</t>
        </is>
      </c>
      <c r="E30" s="2" t="n">
        <v>20</v>
      </c>
      <c r="F30" s="2" t="n">
        <v>18</v>
      </c>
      <c r="G30" s="7">
        <f>IF(E30&gt;0,F30/E30*100,"")</f>
        <v/>
      </c>
      <c r="H30" s="2" t="n">
        <v>0</v>
      </c>
      <c r="I30" s="2" t="inlineStr">
        <is>
          <t>deteccao estavel em passagem lenta.</t>
        </is>
      </c>
    </row>
    <row r="31">
      <c r="A31" s="2" t="n">
        <v>150</v>
      </c>
      <c r="B31" s="2" t="n">
        <v>180</v>
      </c>
      <c r="C31" s="7" t="n">
        <v>1</v>
      </c>
      <c r="D31" s="2" t="inlineStr">
        <is>
          <t>lenta</t>
        </is>
      </c>
      <c r="E31" s="2" t="n">
        <v>20</v>
      </c>
      <c r="F31" s="2" t="n">
        <v>18</v>
      </c>
      <c r="G31" s="7">
        <f>IF(E31&gt;0,F31/E31*100,"")</f>
        <v/>
      </c>
      <c r="H31" s="2" t="n">
        <v>0</v>
      </c>
      <c r="I31" s="2" t="inlineStr">
        <is>
          <t>deteccao estavel em passagem lenta.</t>
        </is>
      </c>
    </row>
    <row r="32" ht="30" customHeight="1">
      <c r="A32" s="2" t="n">
        <v>150</v>
      </c>
      <c r="B32" s="2" t="n">
        <v>180</v>
      </c>
      <c r="C32" s="7" t="n">
        <v>1.5</v>
      </c>
      <c r="D32" s="2" t="inlineStr">
        <is>
          <t>lenta</t>
        </is>
      </c>
      <c r="E32" s="2" t="n">
        <v>20</v>
      </c>
      <c r="F32" s="2" t="n">
        <v>16</v>
      </c>
      <c r="G32" s="7">
        <f>IF(E32&gt;0,F32/E32*100,"")</f>
        <v/>
      </c>
      <c r="H32" s="2" t="n">
        <v>0</v>
      </c>
      <c r="I32" s="2" t="inlineStr">
        <is>
          <t>deteccao parcial; uma zona nao determina sentido.</t>
        </is>
      </c>
    </row>
    <row r="33" ht="30" customHeight="1">
      <c r="A33" s="2" t="n">
        <v>150</v>
      </c>
      <c r="B33" s="2" t="n">
        <v>180</v>
      </c>
      <c r="C33" s="7" t="n">
        <v>2</v>
      </c>
      <c r="D33" s="2" t="inlineStr">
        <is>
          <t>lenta</t>
        </is>
      </c>
      <c r="E33" s="2" t="n">
        <v>20</v>
      </c>
      <c r="F33" s="2" t="n">
        <v>8</v>
      </c>
      <c r="G33" s="7">
        <f>IF(E33&gt;0,F33/E33*100,"")</f>
        <v/>
      </c>
      <c r="H33" s="2" t="n">
        <v>0</v>
      </c>
      <c r="I33" s="2" t="inlineStr">
        <is>
          <t>passagem pouco repetivel nesta distancia/altura.</t>
        </is>
      </c>
    </row>
    <row r="34">
      <c r="A34" s="2" t="n">
        <v>150</v>
      </c>
      <c r="B34" s="2" t="n">
        <v>190</v>
      </c>
      <c r="C34" s="7" t="n">
        <v>0.5</v>
      </c>
      <c r="D34" s="2" t="inlineStr">
        <is>
          <t>lenta</t>
        </is>
      </c>
      <c r="E34" s="2" t="n">
        <v>20</v>
      </c>
      <c r="F34" s="2" t="n">
        <v>19</v>
      </c>
      <c r="G34" s="7">
        <f>IF(E34&gt;0,F34/E34*100,"")</f>
        <v/>
      </c>
      <c r="H34" s="2" t="n">
        <v>0</v>
      </c>
      <c r="I34" s="2" t="inlineStr">
        <is>
          <t>deteccao estavel em passagem lenta.</t>
        </is>
      </c>
    </row>
    <row r="35" ht="30" customHeight="1">
      <c r="A35" s="2" t="n">
        <v>150</v>
      </c>
      <c r="B35" s="2" t="n">
        <v>190</v>
      </c>
      <c r="C35" s="7" t="n">
        <v>1</v>
      </c>
      <c r="D35" s="2" t="inlineStr">
        <is>
          <t>lenta</t>
        </is>
      </c>
      <c r="E35" s="2" t="n">
        <v>20</v>
      </c>
      <c r="F35" s="2" t="n">
        <v>16</v>
      </c>
      <c r="G35" s="7">
        <f>IF(E35&gt;0,F35/E35*100,"")</f>
        <v/>
      </c>
      <c r="H35" s="2" t="n">
        <v>0</v>
      </c>
      <c r="I35" s="2" t="inlineStr">
        <is>
          <t>deteccao parcial; uma zona nao determina sentido.</t>
        </is>
      </c>
    </row>
    <row r="36" ht="30" customHeight="1">
      <c r="A36" s="2" t="n">
        <v>150</v>
      </c>
      <c r="B36" s="2" t="n">
        <v>190</v>
      </c>
      <c r="C36" s="7" t="n">
        <v>1.5</v>
      </c>
      <c r="D36" s="2" t="inlineStr">
        <is>
          <t>lenta</t>
        </is>
      </c>
      <c r="E36" s="2" t="n">
        <v>20</v>
      </c>
      <c r="F36" s="2" t="n">
        <v>14</v>
      </c>
      <c r="G36" s="7">
        <f>IF(E36&gt;0,F36/E36*100,"")</f>
        <v/>
      </c>
      <c r="H36" s="2" t="n">
        <v>0</v>
      </c>
      <c r="I36" s="2" t="inlineStr">
        <is>
          <t>deteccao parcial; uma zona nao determina sentido.</t>
        </is>
      </c>
    </row>
    <row r="37" ht="30" customHeight="1">
      <c r="A37" s="2" t="n">
        <v>150</v>
      </c>
      <c r="B37" s="2" t="n">
        <v>190</v>
      </c>
      <c r="C37" s="7" t="n">
        <v>2</v>
      </c>
      <c r="D37" s="2" t="inlineStr">
        <is>
          <t>lenta</t>
        </is>
      </c>
      <c r="E37" s="2" t="n">
        <v>20</v>
      </c>
      <c r="F37" s="2" t="n">
        <v>9</v>
      </c>
      <c r="G37" s="7">
        <f>IF(E37&gt;0,F37/E37*100,"")</f>
        <v/>
      </c>
      <c r="H37" s="2" t="n">
        <v>0</v>
      </c>
      <c r="I37" s="2" t="inlineStr">
        <is>
          <t>passagem pouco repetivel nesta distancia/altura.</t>
        </is>
      </c>
    </row>
    <row r="38">
      <c r="A38" s="2" t="n">
        <v>150</v>
      </c>
      <c r="B38" s="2" t="n">
        <v>200</v>
      </c>
      <c r="C38" s="7" t="n">
        <v>0.5</v>
      </c>
      <c r="D38" s="2" t="inlineStr">
        <is>
          <t>lenta</t>
        </is>
      </c>
      <c r="E38" s="2" t="n">
        <v>20</v>
      </c>
      <c r="F38" s="2" t="n">
        <v>18</v>
      </c>
      <c r="G38" s="7">
        <f>IF(E38&gt;0,F38/E38*100,"")</f>
        <v/>
      </c>
      <c r="H38" s="2" t="n">
        <v>0</v>
      </c>
      <c r="I38" s="2" t="inlineStr">
        <is>
          <t>deteccao estavel em passagem lenta.</t>
        </is>
      </c>
    </row>
    <row r="39">
      <c r="A39" s="2" t="n">
        <v>150</v>
      </c>
      <c r="B39" s="2" t="n">
        <v>200</v>
      </c>
      <c r="C39" s="7" t="n">
        <v>1</v>
      </c>
      <c r="D39" s="2" t="inlineStr">
        <is>
          <t>lenta</t>
        </is>
      </c>
      <c r="E39" s="2" t="n">
        <v>20</v>
      </c>
      <c r="F39" s="2" t="n">
        <v>18</v>
      </c>
      <c r="G39" s="7">
        <f>IF(E39&gt;0,F39/E39*100,"")</f>
        <v/>
      </c>
      <c r="H39" s="2" t="n">
        <v>0</v>
      </c>
      <c r="I39" s="2" t="inlineStr">
        <is>
          <t>deteccao estavel em passagem lenta.</t>
        </is>
      </c>
    </row>
    <row r="40" ht="30" customHeight="1">
      <c r="A40" s="2" t="n">
        <v>150</v>
      </c>
      <c r="B40" s="2" t="n">
        <v>200</v>
      </c>
      <c r="C40" s="7" t="n">
        <v>1.5</v>
      </c>
      <c r="D40" s="2" t="inlineStr">
        <is>
          <t>lenta</t>
        </is>
      </c>
      <c r="E40" s="2" t="n">
        <v>20</v>
      </c>
      <c r="F40" s="2" t="n">
        <v>13</v>
      </c>
      <c r="G40" s="7">
        <f>IF(E40&gt;0,F40/E40*100,"")</f>
        <v/>
      </c>
      <c r="H40" s="2" t="n">
        <v>0</v>
      </c>
      <c r="I40" s="2" t="inlineStr">
        <is>
          <t>deteccao parcial; uma zona nao determina sentido.</t>
        </is>
      </c>
    </row>
    <row r="41" ht="30" customHeight="1">
      <c r="A41" s="2" t="n">
        <v>150</v>
      </c>
      <c r="B41" s="2" t="n">
        <v>200</v>
      </c>
      <c r="C41" s="7" t="n">
        <v>2</v>
      </c>
      <c r="D41" s="2" t="inlineStr">
        <is>
          <t>lenta</t>
        </is>
      </c>
      <c r="E41" s="2" t="n">
        <v>20</v>
      </c>
      <c r="F41" s="2" t="n">
        <v>8</v>
      </c>
      <c r="G41" s="7">
        <f>IF(E41&gt;0,F41/E41*100,"")</f>
        <v/>
      </c>
      <c r="H41" s="2" t="n">
        <v>0</v>
      </c>
      <c r="I41" s="2" t="inlineStr">
        <is>
          <t>passagem pouco repetivel nesta distancia/altura.</t>
        </is>
      </c>
    </row>
    <row r="42" ht="30" customHeight="1">
      <c r="A42" s="2" t="n">
        <v>150</v>
      </c>
      <c r="B42" s="2" t="n">
        <v>210</v>
      </c>
      <c r="C42" s="7" t="n">
        <v>0.5</v>
      </c>
      <c r="D42" s="2" t="inlineStr">
        <is>
          <t>lenta</t>
        </is>
      </c>
      <c r="E42" s="2" t="n">
        <v>20</v>
      </c>
      <c r="F42" s="2" t="n">
        <v>17</v>
      </c>
      <c r="G42" s="7">
        <f>IF(E42&gt;0,F42/E42*100,"")</f>
        <v/>
      </c>
      <c r="H42" s="2" t="n">
        <v>0</v>
      </c>
      <c r="I42" s="2" t="inlineStr">
        <is>
          <t>deteccao parcial; uma zona nao determina sentido.</t>
        </is>
      </c>
    </row>
    <row r="43" ht="30" customHeight="1">
      <c r="A43" s="2" t="n">
        <v>150</v>
      </c>
      <c r="B43" s="2" t="n">
        <v>210</v>
      </c>
      <c r="C43" s="7" t="n">
        <v>1</v>
      </c>
      <c r="D43" s="2" t="inlineStr">
        <is>
          <t>lenta</t>
        </is>
      </c>
      <c r="E43" s="2" t="n">
        <v>20</v>
      </c>
      <c r="F43" s="2" t="n">
        <v>17</v>
      </c>
      <c r="G43" s="7">
        <f>IF(E43&gt;0,F43/E43*100,"")</f>
        <v/>
      </c>
      <c r="H43" s="2" t="n">
        <v>0</v>
      </c>
      <c r="I43" s="2" t="inlineStr">
        <is>
          <t>deteccao parcial; uma zona nao determina sentido.</t>
        </is>
      </c>
    </row>
    <row r="44" ht="30" customHeight="1">
      <c r="A44" s="2" t="n">
        <v>150</v>
      </c>
      <c r="B44" s="2" t="n">
        <v>210</v>
      </c>
      <c r="C44" s="7" t="n">
        <v>1.5</v>
      </c>
      <c r="D44" s="2" t="inlineStr">
        <is>
          <t>lenta</t>
        </is>
      </c>
      <c r="E44" s="2" t="n">
        <v>20</v>
      </c>
      <c r="F44" s="2" t="n">
        <v>15</v>
      </c>
      <c r="G44" s="7">
        <f>IF(E44&gt;0,F44/E44*100,"")</f>
        <v/>
      </c>
      <c r="H44" s="2" t="n">
        <v>0</v>
      </c>
      <c r="I44" s="2" t="inlineStr">
        <is>
          <t>deteccao parcial; uma zona nao determina sentido.</t>
        </is>
      </c>
    </row>
    <row r="45" ht="30" customHeight="1">
      <c r="A45" s="2" t="n">
        <v>150</v>
      </c>
      <c r="B45" s="2" t="n">
        <v>210</v>
      </c>
      <c r="C45" s="7" t="n">
        <v>2</v>
      </c>
      <c r="D45" s="2" t="inlineStr">
        <is>
          <t>lenta</t>
        </is>
      </c>
      <c r="E45" s="2" t="n">
        <v>20</v>
      </c>
      <c r="F45" s="2" t="n">
        <v>7</v>
      </c>
      <c r="G45" s="7">
        <f>IF(E45&gt;0,F45/E45*100,"")</f>
        <v/>
      </c>
      <c r="H45" s="2" t="n">
        <v>0</v>
      </c>
      <c r="I45" s="2" t="inlineStr">
        <is>
          <t>passagem pouco repetivel nesta distancia/altura.</t>
        </is>
      </c>
    </row>
    <row r="46">
      <c r="A46" s="2" t="n">
        <v>150</v>
      </c>
      <c r="B46" s="2" t="n">
        <v>220</v>
      </c>
      <c r="C46" s="7" t="n">
        <v>0.5</v>
      </c>
      <c r="D46" s="2" t="inlineStr">
        <is>
          <t>lenta</t>
        </is>
      </c>
      <c r="E46" s="2" t="n">
        <v>20</v>
      </c>
      <c r="F46" s="2" t="n">
        <v>18</v>
      </c>
      <c r="G46" s="7">
        <f>IF(E46&gt;0,F46/E46*100,"")</f>
        <v/>
      </c>
      <c r="H46" s="2" t="n">
        <v>0</v>
      </c>
      <c r="I46" s="2" t="inlineStr">
        <is>
          <t>deteccao estavel em passagem lenta.</t>
        </is>
      </c>
    </row>
    <row r="47" ht="30" customHeight="1">
      <c r="A47" s="2" t="n">
        <v>150</v>
      </c>
      <c r="B47" s="2" t="n">
        <v>220</v>
      </c>
      <c r="C47" s="7" t="n">
        <v>1</v>
      </c>
      <c r="D47" s="2" t="inlineStr">
        <is>
          <t>lenta</t>
        </is>
      </c>
      <c r="E47" s="2" t="n">
        <v>20</v>
      </c>
      <c r="F47" s="2" t="n">
        <v>15</v>
      </c>
      <c r="G47" s="7">
        <f>IF(E47&gt;0,F47/E47*100,"")</f>
        <v/>
      </c>
      <c r="H47" s="2" t="n">
        <v>0</v>
      </c>
      <c r="I47" s="2" t="inlineStr">
        <is>
          <t>deteccao parcial; uma zona nao determina sentido.</t>
        </is>
      </c>
    </row>
    <row r="48" ht="30" customHeight="1">
      <c r="A48" s="2" t="n">
        <v>150</v>
      </c>
      <c r="B48" s="2" t="n">
        <v>220</v>
      </c>
      <c r="C48" s="7" t="n">
        <v>1.5</v>
      </c>
      <c r="D48" s="2" t="inlineStr">
        <is>
          <t>lenta</t>
        </is>
      </c>
      <c r="E48" s="2" t="n">
        <v>20</v>
      </c>
      <c r="F48" s="2" t="n">
        <v>13</v>
      </c>
      <c r="G48" s="7">
        <f>IF(E48&gt;0,F48/E48*100,"")</f>
        <v/>
      </c>
      <c r="H48" s="2" t="n">
        <v>0</v>
      </c>
      <c r="I48" s="2" t="inlineStr">
        <is>
          <t>deteccao parcial; uma zona nao determina sentido.</t>
        </is>
      </c>
    </row>
    <row r="49" ht="30" customHeight="1">
      <c r="A49" s="2" t="n">
        <v>150</v>
      </c>
      <c r="B49" s="2" t="n">
        <v>220</v>
      </c>
      <c r="C49" s="7" t="n">
        <v>2</v>
      </c>
      <c r="D49" s="2" t="inlineStr">
        <is>
          <t>lenta</t>
        </is>
      </c>
      <c r="E49" s="2" t="n">
        <v>20</v>
      </c>
      <c r="F49" s="2" t="n">
        <v>8</v>
      </c>
      <c r="G49" s="7">
        <f>IF(E49&gt;0,F49/E49*100,"")</f>
        <v/>
      </c>
      <c r="H49" s="2" t="n">
        <v>0</v>
      </c>
      <c r="I49" s="2" t="inlineStr">
        <is>
          <t>passagem pouco repetivel nesta distancia/altura.</t>
        </is>
      </c>
    </row>
    <row r="50" ht="30" customHeight="1">
      <c r="A50" s="2" t="n">
        <v>150</v>
      </c>
      <c r="B50" s="2" t="n">
        <v>230</v>
      </c>
      <c r="C50" s="7" t="n">
        <v>0.5</v>
      </c>
      <c r="D50" s="2" t="inlineStr">
        <is>
          <t>lenta</t>
        </is>
      </c>
      <c r="E50" s="2" t="n">
        <v>20</v>
      </c>
      <c r="F50" s="2" t="n">
        <v>17</v>
      </c>
      <c r="G50" s="7">
        <f>IF(E50&gt;0,F50/E50*100,"")</f>
        <v/>
      </c>
      <c r="H50" s="2" t="n">
        <v>0</v>
      </c>
      <c r="I50" s="2" t="inlineStr">
        <is>
          <t>deteccao parcial; uma zona nao determina sentido.</t>
        </is>
      </c>
    </row>
    <row r="51" ht="30" customHeight="1">
      <c r="A51" s="2" t="n">
        <v>150</v>
      </c>
      <c r="B51" s="2" t="n">
        <v>230</v>
      </c>
      <c r="C51" s="7" t="n">
        <v>1</v>
      </c>
      <c r="D51" s="2" t="inlineStr">
        <is>
          <t>lenta</t>
        </is>
      </c>
      <c r="E51" s="2" t="n">
        <v>20</v>
      </c>
      <c r="F51" s="2" t="n">
        <v>17</v>
      </c>
      <c r="G51" s="7">
        <f>IF(E51&gt;0,F51/E51*100,"")</f>
        <v/>
      </c>
      <c r="H51" s="2" t="n">
        <v>0</v>
      </c>
      <c r="I51" s="2" t="inlineStr">
        <is>
          <t>deteccao parcial; uma zona nao determina sentido.</t>
        </is>
      </c>
    </row>
    <row r="52" ht="30" customHeight="1">
      <c r="A52" s="2" t="n">
        <v>150</v>
      </c>
      <c r="B52" s="2" t="n">
        <v>230</v>
      </c>
      <c r="C52" s="7" t="n">
        <v>1.5</v>
      </c>
      <c r="D52" s="2" t="inlineStr">
        <is>
          <t>lenta</t>
        </is>
      </c>
      <c r="E52" s="2" t="n">
        <v>20</v>
      </c>
      <c r="F52" s="2" t="n">
        <v>12</v>
      </c>
      <c r="G52" s="7">
        <f>IF(E52&gt;0,F52/E52*100,"")</f>
        <v/>
      </c>
      <c r="H52" s="2" t="n">
        <v>0</v>
      </c>
      <c r="I52" s="2" t="inlineStr">
        <is>
          <t>deteccao parcial; uma zona nao determina sentido.</t>
        </is>
      </c>
    </row>
    <row r="53" ht="30" customHeight="1">
      <c r="A53" s="2" t="n">
        <v>150</v>
      </c>
      <c r="B53" s="2" t="n">
        <v>230</v>
      </c>
      <c r="C53" s="7" t="n">
        <v>2</v>
      </c>
      <c r="D53" s="2" t="inlineStr">
        <is>
          <t>lenta</t>
        </is>
      </c>
      <c r="E53" s="2" t="n">
        <v>20</v>
      </c>
      <c r="F53" s="2" t="n">
        <v>7</v>
      </c>
      <c r="G53" s="7">
        <f>IF(E53&gt;0,F53/E53*100,"")</f>
        <v/>
      </c>
      <c r="H53" s="2" t="n">
        <v>0</v>
      </c>
      <c r="I53" s="2" t="inlineStr">
        <is>
          <t>passagem pouco repetivel nesta distancia/altura.</t>
        </is>
      </c>
    </row>
    <row r="54" ht="30" customHeight="1">
      <c r="A54" s="2" t="n">
        <v>150</v>
      </c>
      <c r="B54" s="2" t="n">
        <v>240</v>
      </c>
      <c r="C54" s="7" t="n">
        <v>0.5</v>
      </c>
      <c r="D54" s="2" t="inlineStr">
        <is>
          <t>lenta</t>
        </is>
      </c>
      <c r="E54" s="2" t="n">
        <v>20</v>
      </c>
      <c r="F54" s="2" t="n">
        <v>15</v>
      </c>
      <c r="G54" s="7">
        <f>IF(E54&gt;0,F54/E54*100,"")</f>
        <v/>
      </c>
      <c r="H54" s="2" t="n">
        <v>0</v>
      </c>
      <c r="I54" s="2" t="inlineStr">
        <is>
          <t>deteccao parcial; uma zona nao determina sentido.</t>
        </is>
      </c>
    </row>
    <row r="55" ht="30" customHeight="1">
      <c r="A55" s="2" t="n">
        <v>150</v>
      </c>
      <c r="B55" s="2" t="n">
        <v>240</v>
      </c>
      <c r="C55" s="7" t="n">
        <v>1</v>
      </c>
      <c r="D55" s="2" t="inlineStr">
        <is>
          <t>lenta</t>
        </is>
      </c>
      <c r="E55" s="2" t="n">
        <v>20</v>
      </c>
      <c r="F55" s="2" t="n">
        <v>15</v>
      </c>
      <c r="G55" s="7">
        <f>IF(E55&gt;0,F55/E55*100,"")</f>
        <v/>
      </c>
      <c r="H55" s="2" t="n">
        <v>0</v>
      </c>
      <c r="I55" s="2" t="inlineStr">
        <is>
          <t>deteccao parcial; uma zona nao determina sentido.</t>
        </is>
      </c>
    </row>
    <row r="56" ht="30" customHeight="1">
      <c r="A56" s="2" t="n">
        <v>150</v>
      </c>
      <c r="B56" s="2" t="n">
        <v>240</v>
      </c>
      <c r="C56" s="7" t="n">
        <v>1.5</v>
      </c>
      <c r="D56" s="2" t="inlineStr">
        <is>
          <t>lenta</t>
        </is>
      </c>
      <c r="E56" s="2" t="n">
        <v>20</v>
      </c>
      <c r="F56" s="2" t="n">
        <v>13</v>
      </c>
      <c r="G56" s="7">
        <f>IF(E56&gt;0,F56/E56*100,"")</f>
        <v/>
      </c>
      <c r="H56" s="2" t="n">
        <v>0</v>
      </c>
      <c r="I56" s="2" t="inlineStr">
        <is>
          <t>deteccao parcial; uma zona nao determina sentido.</t>
        </is>
      </c>
    </row>
    <row r="57" ht="30" customHeight="1">
      <c r="A57" s="2" t="n">
        <v>150</v>
      </c>
      <c r="B57" s="2" t="n">
        <v>240</v>
      </c>
      <c r="C57" s="7" t="n">
        <v>2</v>
      </c>
      <c r="D57" s="2" t="inlineStr">
        <is>
          <t>lenta</t>
        </is>
      </c>
      <c r="E57" s="2" t="n">
        <v>20</v>
      </c>
      <c r="F57" s="2" t="n">
        <v>5</v>
      </c>
      <c r="G57" s="7">
        <f>IF(E57&gt;0,F57/E57*100,"")</f>
        <v/>
      </c>
      <c r="H57" s="2" t="n">
        <v>0</v>
      </c>
      <c r="I57" s="2" t="inlineStr">
        <is>
          <t>passagem pouco repetivel nesta distancia/altura.</t>
        </is>
      </c>
    </row>
    <row r="58" ht="30" customHeight="1">
      <c r="A58" s="2" t="n">
        <v>150</v>
      </c>
      <c r="B58" s="2" t="n">
        <v>250</v>
      </c>
      <c r="C58" s="7" t="n">
        <v>0.5</v>
      </c>
      <c r="D58" s="2" t="inlineStr">
        <is>
          <t>lenta</t>
        </is>
      </c>
      <c r="E58" s="2" t="n">
        <v>20</v>
      </c>
      <c r="F58" s="2" t="n">
        <v>17</v>
      </c>
      <c r="G58" s="7">
        <f>IF(E58&gt;0,F58/E58*100,"")</f>
        <v/>
      </c>
      <c r="H58" s="2" t="n">
        <v>0</v>
      </c>
      <c r="I58" s="2" t="inlineStr">
        <is>
          <t>deteccao parcial; uma zona nao determina sentido.</t>
        </is>
      </c>
    </row>
    <row r="59" ht="30" customHeight="1">
      <c r="A59" s="2" t="n">
        <v>150</v>
      </c>
      <c r="B59" s="2" t="n">
        <v>250</v>
      </c>
      <c r="C59" s="7" t="n">
        <v>1</v>
      </c>
      <c r="D59" s="2" t="inlineStr">
        <is>
          <t>lenta</t>
        </is>
      </c>
      <c r="E59" s="2" t="n">
        <v>20</v>
      </c>
      <c r="F59" s="2" t="n">
        <v>14</v>
      </c>
      <c r="G59" s="7">
        <f>IF(E59&gt;0,F59/E59*100,"")</f>
        <v/>
      </c>
      <c r="H59" s="2" t="n">
        <v>0</v>
      </c>
      <c r="I59" s="2" t="inlineStr">
        <is>
          <t>deteccao parcial; uma zona nao determina sentido.</t>
        </is>
      </c>
    </row>
    <row r="60" ht="30" customHeight="1">
      <c r="A60" s="2" t="n">
        <v>150</v>
      </c>
      <c r="B60" s="2" t="n">
        <v>250</v>
      </c>
      <c r="C60" s="7" t="n">
        <v>1.5</v>
      </c>
      <c r="D60" s="2" t="inlineStr">
        <is>
          <t>lenta</t>
        </is>
      </c>
      <c r="E60" s="2" t="n">
        <v>20</v>
      </c>
      <c r="F60" s="2" t="n">
        <v>12</v>
      </c>
      <c r="G60" s="7">
        <f>IF(E60&gt;0,F60/E60*100,"")</f>
        <v/>
      </c>
      <c r="H60" s="2" t="n">
        <v>0</v>
      </c>
      <c r="I60" s="2" t="inlineStr">
        <is>
          <t>deteccao parcial; uma zona nao determina sentido.</t>
        </is>
      </c>
    </row>
    <row r="61" ht="30" customHeight="1">
      <c r="A61" s="2" t="n">
        <v>150</v>
      </c>
      <c r="B61" s="2" t="n">
        <v>250</v>
      </c>
      <c r="C61" s="7" t="n">
        <v>2</v>
      </c>
      <c r="D61" s="2" t="inlineStr">
        <is>
          <t>lenta</t>
        </is>
      </c>
      <c r="E61" s="2" t="n">
        <v>20</v>
      </c>
      <c r="F61" s="2" t="n">
        <v>7</v>
      </c>
      <c r="G61" s="7">
        <f>IF(E61&gt;0,F61/E61*100,"")</f>
        <v/>
      </c>
      <c r="H61" s="2" t="n">
        <v>0</v>
      </c>
      <c r="I61" s="2" t="inlineStr">
        <is>
          <t>passagem pouco repetivel nesta distancia/altura.</t>
        </is>
      </c>
    </row>
  </sheetData>
  <autoFilter ref="A1:I6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01"/>
  <sheetViews>
    <sheetView showGridLines="0" workbookViewId="0">
      <pane ySplit="1" topLeftCell="A2" activePane="bottomLeft" state="frozen"/>
      <selection activeCell="A1" sqref="A1"/>
      <selection pane="bottomLeft" activeCell="N3" sqref="N3"/>
    </sheetView>
  </sheetViews>
  <sheetFormatPr baseColWidth="8" defaultColWidth="9" defaultRowHeight="15"/>
  <cols>
    <col width="18" customWidth="1" min="1" max="1"/>
    <col width="10" customWidth="1" min="2" max="3"/>
    <col width="22" customWidth="1" min="4" max="4"/>
    <col width="18" customWidth="1" min="5" max="5"/>
    <col width="16" customWidth="1" min="6" max="6"/>
    <col width="13" customWidth="1" min="7" max="7"/>
    <col width="14" customWidth="1" min="8" max="8"/>
    <col width="34" customWidth="1" min="9" max="9"/>
    <col width="18" customWidth="1" min="10" max="10"/>
    <col width="10" customWidth="1" min="11" max="11"/>
    <col width="16" customWidth="1" min="12" max="12"/>
    <col width="18" customWidth="1" min="13" max="13"/>
    <col width="40" customWidth="1" min="14" max="14"/>
  </cols>
  <sheetData>
    <row r="1">
      <c r="A1" s="1" t="inlineStr">
        <is>
          <t>ensaio</t>
        </is>
      </c>
      <c r="B1" s="1" t="inlineStr">
        <is>
          <t>rodada</t>
        </is>
      </c>
      <c r="C1" s="1" t="inlineStr">
        <is>
          <t>tentativa</t>
        </is>
      </c>
      <c r="D1" s="1" t="inlineStr">
        <is>
          <t>timestamp</t>
        </is>
      </c>
      <c r="E1" s="1" t="inlineStr">
        <is>
          <t>altura_antena_cm</t>
        </is>
      </c>
      <c r="F1" s="1" t="inlineStr">
        <is>
          <t>altura_tag_cm</t>
        </is>
      </c>
      <c r="G1" s="1" t="inlineStr">
        <is>
          <t>distancia_m</t>
        </is>
      </c>
      <c r="H1" s="1" t="inlineStr">
        <is>
          <t>id_tag</t>
        </is>
      </c>
      <c r="I1" s="1" t="inlineStr">
        <is>
          <t>epc_lido</t>
        </is>
      </c>
      <c r="J1" s="1" t="inlineStr">
        <is>
          <t>leitura_valida_0_1</t>
        </is>
      </c>
      <c r="K1" s="1" t="inlineStr">
        <is>
          <t>rssi</t>
        </is>
      </c>
      <c r="L1" s="1" t="inlineStr">
        <is>
          <t>orientacao_graus</t>
        </is>
      </c>
      <c r="M1" s="1" t="inlineStr">
        <is>
          <t>material</t>
        </is>
      </c>
      <c r="N1" s="1" t="inlineStr">
        <is>
          <t>observacoes</t>
        </is>
      </c>
    </row>
    <row r="2" ht="30" customHeight="1">
      <c r="A2" s="2" t="inlineStr">
        <is>
          <t>distancia_150cm_2m</t>
        </is>
      </c>
      <c r="B2" s="2" t="n">
        <v>1</v>
      </c>
      <c r="C2" s="2" t="n">
        <v>1</v>
      </c>
      <c r="D2" s="2" t="inlineStr">
        <is>
          <t>2026-07-07 14:00:02</t>
        </is>
      </c>
      <c r="E2" s="2" t="n">
        <v>150</v>
      </c>
      <c r="F2" s="2" t="n">
        <v>150</v>
      </c>
      <c r="G2" s="7" t="n">
        <v>2</v>
      </c>
      <c r="H2" s="2" t="inlineStr">
        <is>
          <t>TAG150</t>
        </is>
      </c>
      <c r="I2" s="2" t="inlineStr">
        <is>
          <t>3008000A0096A1B2C3D4E5F6A7B8C9D0</t>
        </is>
      </c>
      <c r="J2" s="2" t="n">
        <v>1</v>
      </c>
      <c r="K2" s="7" t="n">
        <v>-65.40000000000001</v>
      </c>
      <c r="L2" s="2" t="n">
        <v>0</v>
      </c>
      <c r="M2" s="2" t="inlineStr">
        <is>
          <t>Madeira</t>
        </is>
      </c>
      <c r="N2" s="2" t="inlineStr">
        <is>
          <t xml:space="preserve">Amostra bruta </t>
        </is>
      </c>
    </row>
    <row r="3" ht="30" customHeight="1">
      <c r="A3" s="2" t="inlineStr">
        <is>
          <t>distancia_150cm_2m</t>
        </is>
      </c>
      <c r="B3" s="2" t="n">
        <v>1</v>
      </c>
      <c r="C3" s="2" t="n">
        <v>2</v>
      </c>
      <c r="D3" s="2" t="inlineStr">
        <is>
          <t>2026-07-07 14:00:04</t>
        </is>
      </c>
      <c r="E3" s="2" t="n">
        <v>150</v>
      </c>
      <c r="F3" s="2" t="n">
        <v>150</v>
      </c>
      <c r="G3" s="7" t="n">
        <v>2</v>
      </c>
      <c r="H3" s="2" t="inlineStr">
        <is>
          <t>TAG150</t>
        </is>
      </c>
      <c r="I3" s="2" t="inlineStr">
        <is>
          <t>3008000A0096A1B2C3D4E5F6A7B8C9D0</t>
        </is>
      </c>
      <c r="J3" s="2" t="n">
        <v>1</v>
      </c>
      <c r="K3" s="7" t="n">
        <v>-65.40000000000001</v>
      </c>
      <c r="L3" s="2" t="n">
        <v>0</v>
      </c>
      <c r="M3" s="2" t="inlineStr">
        <is>
          <t>Madeira</t>
        </is>
      </c>
      <c r="N3" s="2" t="inlineStr">
        <is>
          <t xml:space="preserve">Amostra bruta </t>
        </is>
      </c>
    </row>
    <row r="4" ht="30" customHeight="1">
      <c r="A4" s="2" t="inlineStr">
        <is>
          <t>distancia_150cm_2m</t>
        </is>
      </c>
      <c r="B4" s="2" t="n">
        <v>1</v>
      </c>
      <c r="C4" s="2" t="n">
        <v>3</v>
      </c>
      <c r="D4" s="2" t="inlineStr">
        <is>
          <t>2026-07-07 14:00:06</t>
        </is>
      </c>
      <c r="E4" s="2" t="n">
        <v>150</v>
      </c>
      <c r="F4" s="2" t="n">
        <v>150</v>
      </c>
      <c r="G4" s="7" t="n">
        <v>2</v>
      </c>
      <c r="H4" s="2" t="inlineStr">
        <is>
          <t>TAG150</t>
        </is>
      </c>
      <c r="I4" s="2" t="inlineStr">
        <is>
          <t>3008000A0096A1B2C3D4E5F6A7B8C9D0</t>
        </is>
      </c>
      <c r="J4" s="2" t="n">
        <v>1</v>
      </c>
      <c r="K4" s="7" t="n">
        <v>-65.40000000000001</v>
      </c>
      <c r="L4" s="2" t="n">
        <v>0</v>
      </c>
      <c r="M4" s="2" t="inlineStr">
        <is>
          <t>Madeira</t>
        </is>
      </c>
      <c r="N4" s="2" t="inlineStr">
        <is>
          <t xml:space="preserve">Amostra bruta </t>
        </is>
      </c>
    </row>
    <row r="5" ht="30" customHeight="1">
      <c r="A5" s="2" t="inlineStr">
        <is>
          <t>distancia_150cm_2m</t>
        </is>
      </c>
      <c r="B5" s="2" t="n">
        <v>1</v>
      </c>
      <c r="C5" s="2" t="n">
        <v>4</v>
      </c>
      <c r="D5" s="2" t="inlineStr">
        <is>
          <t>2026-07-07 14:00:08</t>
        </is>
      </c>
      <c r="E5" s="2" t="n">
        <v>150</v>
      </c>
      <c r="F5" s="2" t="n">
        <v>150</v>
      </c>
      <c r="G5" s="7" t="n">
        <v>2</v>
      </c>
      <c r="H5" s="2" t="inlineStr">
        <is>
          <t>TAG150</t>
        </is>
      </c>
      <c r="I5" s="2" t="inlineStr">
        <is>
          <t>3008000A0096A1B2C3D4E5F6A7B8C9D0</t>
        </is>
      </c>
      <c r="J5" s="2" t="n">
        <v>1</v>
      </c>
      <c r="K5" s="7" t="n">
        <v>-65.40000000000001</v>
      </c>
      <c r="L5" s="2" t="n">
        <v>0</v>
      </c>
      <c r="M5" s="2" t="inlineStr">
        <is>
          <t>Madeira</t>
        </is>
      </c>
      <c r="N5" s="2" t="inlineStr">
        <is>
          <t xml:space="preserve">Amostra bruta </t>
        </is>
      </c>
    </row>
    <row r="6" ht="30" customHeight="1">
      <c r="A6" s="2" t="inlineStr">
        <is>
          <t>distancia_150cm_2m</t>
        </is>
      </c>
      <c r="B6" s="2" t="n">
        <v>1</v>
      </c>
      <c r="C6" s="2" t="n">
        <v>5</v>
      </c>
      <c r="D6" s="2" t="inlineStr">
        <is>
          <t>2026-07-07 14:00:10</t>
        </is>
      </c>
      <c r="E6" s="2" t="n">
        <v>150</v>
      </c>
      <c r="F6" s="2" t="n">
        <v>150</v>
      </c>
      <c r="G6" s="7" t="n">
        <v>2</v>
      </c>
      <c r="H6" s="2" t="inlineStr">
        <is>
          <t>TAG150</t>
        </is>
      </c>
      <c r="I6" s="2" t="inlineStr">
        <is>
          <t>3008000A0096A1B2C3D4E5F6A7B8C9D0</t>
        </is>
      </c>
      <c r="J6" s="2" t="n">
        <v>1</v>
      </c>
      <c r="K6" s="7" t="n">
        <v>-65.40000000000001</v>
      </c>
      <c r="L6" s="2" t="n">
        <v>0</v>
      </c>
      <c r="M6" s="2" t="inlineStr">
        <is>
          <t>Madeira</t>
        </is>
      </c>
      <c r="N6" s="2" t="inlineStr">
        <is>
          <t xml:space="preserve">Amostra bruta </t>
        </is>
      </c>
    </row>
    <row r="7" ht="30" customHeight="1">
      <c r="A7" s="2" t="inlineStr">
        <is>
          <t>distancia_150cm_2m</t>
        </is>
      </c>
      <c r="B7" s="2" t="n">
        <v>1</v>
      </c>
      <c r="C7" s="2" t="n">
        <v>6</v>
      </c>
      <c r="D7" s="2" t="inlineStr">
        <is>
          <t>2026-07-07 14:00:12</t>
        </is>
      </c>
      <c r="E7" s="2" t="n">
        <v>150</v>
      </c>
      <c r="F7" s="2" t="n">
        <v>150</v>
      </c>
      <c r="G7" s="7" t="n">
        <v>2</v>
      </c>
      <c r="H7" s="2" t="inlineStr">
        <is>
          <t>TAG150</t>
        </is>
      </c>
      <c r="I7" s="2" t="inlineStr">
        <is>
          <t>3008000A0096A1B2C3D4E5F6A7B8C9D0</t>
        </is>
      </c>
      <c r="J7" s="2" t="n">
        <v>1</v>
      </c>
      <c r="K7" s="7" t="n">
        <v>-65.40000000000001</v>
      </c>
      <c r="L7" s="2" t="n">
        <v>0</v>
      </c>
      <c r="M7" s="2" t="inlineStr">
        <is>
          <t>Madeira</t>
        </is>
      </c>
      <c r="N7" s="2" t="inlineStr">
        <is>
          <t xml:space="preserve">Amostra bruta </t>
        </is>
      </c>
    </row>
    <row r="8" ht="30" customHeight="1">
      <c r="A8" s="2" t="inlineStr">
        <is>
          <t>distancia_150cm_2m</t>
        </is>
      </c>
      <c r="B8" s="2" t="n">
        <v>1</v>
      </c>
      <c r="C8" s="2" t="n">
        <v>7</v>
      </c>
      <c r="D8" s="2" t="inlineStr">
        <is>
          <t>2026-07-07 14:00:14</t>
        </is>
      </c>
      <c r="E8" s="2" t="n">
        <v>150</v>
      </c>
      <c r="F8" s="2" t="n">
        <v>150</v>
      </c>
      <c r="G8" s="7" t="n">
        <v>2</v>
      </c>
      <c r="H8" s="2" t="inlineStr">
        <is>
          <t>TAG150</t>
        </is>
      </c>
      <c r="I8" s="2" t="inlineStr">
        <is>
          <t>3008000A0096A1B2C3D4E5F6A7B8C9D0</t>
        </is>
      </c>
      <c r="J8" s="2" t="n">
        <v>1</v>
      </c>
      <c r="K8" s="7" t="n">
        <v>-65.40000000000001</v>
      </c>
      <c r="L8" s="2" t="n">
        <v>0</v>
      </c>
      <c r="M8" s="2" t="inlineStr">
        <is>
          <t>Madeira</t>
        </is>
      </c>
      <c r="N8" s="2" t="inlineStr">
        <is>
          <t xml:space="preserve">Amostra bruta </t>
        </is>
      </c>
    </row>
    <row r="9" ht="30" customHeight="1">
      <c r="A9" s="2" t="inlineStr">
        <is>
          <t>distancia_150cm_2m</t>
        </is>
      </c>
      <c r="B9" s="2" t="n">
        <v>1</v>
      </c>
      <c r="C9" s="2" t="n">
        <v>8</v>
      </c>
      <c r="D9" s="2" t="inlineStr">
        <is>
          <t>2026-07-07 14:00:16</t>
        </is>
      </c>
      <c r="E9" s="2" t="n">
        <v>150</v>
      </c>
      <c r="F9" s="2" t="n">
        <v>150</v>
      </c>
      <c r="G9" s="7" t="n">
        <v>2</v>
      </c>
      <c r="H9" s="2" t="inlineStr">
        <is>
          <t>TAG150</t>
        </is>
      </c>
      <c r="I9" s="2" t="inlineStr">
        <is>
          <t>3008000A0096A1B2C3D4E5F6A7B8C9D0</t>
        </is>
      </c>
      <c r="J9" s="2" t="n">
        <v>1</v>
      </c>
      <c r="K9" s="7" t="n">
        <v>-65.40000000000001</v>
      </c>
      <c r="L9" s="2" t="n">
        <v>0</v>
      </c>
      <c r="M9" s="2" t="inlineStr">
        <is>
          <t>Madeira</t>
        </is>
      </c>
      <c r="N9" s="2" t="inlineStr">
        <is>
          <t xml:space="preserve">Amostra bruta </t>
        </is>
      </c>
    </row>
    <row r="10" ht="30" customHeight="1">
      <c r="A10" s="2" t="inlineStr">
        <is>
          <t>distancia_150cm_2m</t>
        </is>
      </c>
      <c r="B10" s="2" t="n">
        <v>1</v>
      </c>
      <c r="C10" s="2" t="n">
        <v>9</v>
      </c>
      <c r="D10" s="2" t="inlineStr">
        <is>
          <t>2026-07-07 14:00:18</t>
        </is>
      </c>
      <c r="E10" s="2" t="n">
        <v>150</v>
      </c>
      <c r="F10" s="2" t="n">
        <v>150</v>
      </c>
      <c r="G10" s="7" t="n">
        <v>2</v>
      </c>
      <c r="H10" s="2" t="inlineStr">
        <is>
          <t>TAG150</t>
        </is>
      </c>
      <c r="I10" s="2" t="inlineStr">
        <is>
          <t>3008000A0096A1B2C3D4E5F6A7B8C9D0</t>
        </is>
      </c>
      <c r="J10" s="2" t="n">
        <v>1</v>
      </c>
      <c r="K10" s="7" t="n">
        <v>-65.40000000000001</v>
      </c>
      <c r="L10" s="2" t="n">
        <v>0</v>
      </c>
      <c r="M10" s="2" t="inlineStr">
        <is>
          <t>Madeira</t>
        </is>
      </c>
      <c r="N10" s="2" t="inlineStr">
        <is>
          <t xml:space="preserve">Amostra bruta </t>
        </is>
      </c>
    </row>
    <row r="11" ht="30" customHeight="1">
      <c r="A11" s="2" t="inlineStr">
        <is>
          <t>distancia_150cm_2m</t>
        </is>
      </c>
      <c r="B11" s="2" t="n">
        <v>1</v>
      </c>
      <c r="C11" s="2" t="n">
        <v>10</v>
      </c>
      <c r="D11" s="2" t="inlineStr">
        <is>
          <t>2026-07-07 14:00:20</t>
        </is>
      </c>
      <c r="E11" s="2" t="n">
        <v>150</v>
      </c>
      <c r="F11" s="2" t="n">
        <v>150</v>
      </c>
      <c r="G11" s="7" t="n">
        <v>2</v>
      </c>
      <c r="H11" s="2" t="inlineStr">
        <is>
          <t>TAG150</t>
        </is>
      </c>
      <c r="I11" s="2" t="inlineStr">
        <is>
          <t>3008000A0096A1B2C3D4E5F6A7B8C9D0</t>
        </is>
      </c>
      <c r="J11" s="2" t="n">
        <v>1</v>
      </c>
      <c r="K11" s="7" t="n">
        <v>-65.40000000000001</v>
      </c>
      <c r="L11" s="2" t="n">
        <v>0</v>
      </c>
      <c r="M11" s="2" t="inlineStr">
        <is>
          <t>Madeira</t>
        </is>
      </c>
      <c r="N11" s="2" t="inlineStr">
        <is>
          <t xml:space="preserve">Amostra bruta </t>
        </is>
      </c>
    </row>
    <row r="12" ht="30" customHeight="1">
      <c r="A12" s="2" t="inlineStr">
        <is>
          <t>distancia_150cm_2m</t>
        </is>
      </c>
      <c r="B12" s="2" t="n">
        <v>1</v>
      </c>
      <c r="C12" s="2" t="n">
        <v>11</v>
      </c>
      <c r="D12" s="2" t="inlineStr">
        <is>
          <t>2026-07-07 14:00:22</t>
        </is>
      </c>
      <c r="E12" s="2" t="n">
        <v>150</v>
      </c>
      <c r="F12" s="2" t="n">
        <v>150</v>
      </c>
      <c r="G12" s="7" t="n">
        <v>2</v>
      </c>
      <c r="H12" s="2" t="inlineStr">
        <is>
          <t>TAG150</t>
        </is>
      </c>
      <c r="I12" s="2" t="inlineStr">
        <is>
          <t>3008000A0096A1B2C3D4E5F6A7B8C9D0</t>
        </is>
      </c>
      <c r="J12" s="2" t="n">
        <v>1</v>
      </c>
      <c r="K12" s="7" t="n">
        <v>-65.40000000000001</v>
      </c>
      <c r="L12" s="2" t="n">
        <v>0</v>
      </c>
      <c r="M12" s="2" t="inlineStr">
        <is>
          <t>Madeira</t>
        </is>
      </c>
      <c r="N12" s="2" t="inlineStr">
        <is>
          <t xml:space="preserve">Amostra bruta </t>
        </is>
      </c>
    </row>
    <row r="13" ht="30" customHeight="1">
      <c r="A13" s="2" t="inlineStr">
        <is>
          <t>distancia_150cm_2m</t>
        </is>
      </c>
      <c r="B13" s="2" t="n">
        <v>1</v>
      </c>
      <c r="C13" s="2" t="n">
        <v>12</v>
      </c>
      <c r="D13" s="2" t="inlineStr">
        <is>
          <t>2026-07-07 14:00:24</t>
        </is>
      </c>
      <c r="E13" s="2" t="n">
        <v>150</v>
      </c>
      <c r="F13" s="2" t="n">
        <v>150</v>
      </c>
      <c r="G13" s="7" t="n">
        <v>2</v>
      </c>
      <c r="H13" s="2" t="inlineStr">
        <is>
          <t>TAG150</t>
        </is>
      </c>
      <c r="I13" s="2" t="inlineStr">
        <is>
          <t>3008000A0096A1B2C3D4E5F6A7B8C9D0</t>
        </is>
      </c>
      <c r="J13" s="2" t="n">
        <v>1</v>
      </c>
      <c r="K13" s="7" t="n">
        <v>-65.40000000000001</v>
      </c>
      <c r="L13" s="2" t="n">
        <v>0</v>
      </c>
      <c r="M13" s="2" t="inlineStr">
        <is>
          <t>Madeira</t>
        </is>
      </c>
      <c r="N13" s="2" t="inlineStr">
        <is>
          <t xml:space="preserve">Amostra bruta </t>
        </is>
      </c>
    </row>
    <row r="14" ht="30" customHeight="1">
      <c r="A14" s="2" t="inlineStr">
        <is>
          <t>distancia_150cm_2m</t>
        </is>
      </c>
      <c r="B14" s="2" t="n">
        <v>1</v>
      </c>
      <c r="C14" s="2" t="n">
        <v>13</v>
      </c>
      <c r="D14" s="2" t="inlineStr">
        <is>
          <t>2026-07-07 14:00:26</t>
        </is>
      </c>
      <c r="E14" s="2" t="n">
        <v>150</v>
      </c>
      <c r="F14" s="2" t="n">
        <v>150</v>
      </c>
      <c r="G14" s="7" t="n">
        <v>2</v>
      </c>
      <c r="H14" s="2" t="inlineStr">
        <is>
          <t>TAG150</t>
        </is>
      </c>
      <c r="I14" s="2" t="inlineStr">
        <is>
          <t>3008000A0096A1B2C3D4E5F6A7B8C9D0</t>
        </is>
      </c>
      <c r="J14" s="2" t="n">
        <v>1</v>
      </c>
      <c r="K14" s="7" t="n">
        <v>-65.40000000000001</v>
      </c>
      <c r="L14" s="2" t="n">
        <v>0</v>
      </c>
      <c r="M14" s="2" t="inlineStr">
        <is>
          <t>Madeira</t>
        </is>
      </c>
      <c r="N14" s="2" t="inlineStr">
        <is>
          <t xml:space="preserve">Amostra bruta </t>
        </is>
      </c>
    </row>
    <row r="15" ht="30" customHeight="1">
      <c r="A15" s="2" t="inlineStr">
        <is>
          <t>distancia_150cm_2m</t>
        </is>
      </c>
      <c r="B15" s="2" t="n">
        <v>1</v>
      </c>
      <c r="C15" s="2" t="n">
        <v>14</v>
      </c>
      <c r="D15" s="2" t="inlineStr">
        <is>
          <t>2026-07-07 14:00:28</t>
        </is>
      </c>
      <c r="E15" s="2" t="n">
        <v>150</v>
      </c>
      <c r="F15" s="2" t="n">
        <v>150</v>
      </c>
      <c r="G15" s="7" t="n">
        <v>2</v>
      </c>
      <c r="H15" s="2" t="inlineStr">
        <is>
          <t>TAG150</t>
        </is>
      </c>
      <c r="I15" s="2" t="inlineStr">
        <is>
          <t>3008000A0096A1B2C3D4E5F6A7B8C9D0</t>
        </is>
      </c>
      <c r="J15" s="2" t="n">
        <v>1</v>
      </c>
      <c r="K15" s="7" t="n">
        <v>-65.40000000000001</v>
      </c>
      <c r="L15" s="2" t="n">
        <v>0</v>
      </c>
      <c r="M15" s="2" t="inlineStr">
        <is>
          <t>Madeira</t>
        </is>
      </c>
      <c r="N15" s="2" t="inlineStr">
        <is>
          <t xml:space="preserve">Amostra bruta </t>
        </is>
      </c>
    </row>
    <row r="16" ht="30" customHeight="1">
      <c r="A16" s="2" t="inlineStr">
        <is>
          <t>distancia_150cm_2m</t>
        </is>
      </c>
      <c r="B16" s="2" t="n">
        <v>1</v>
      </c>
      <c r="C16" s="2" t="n">
        <v>15</v>
      </c>
      <c r="D16" s="2" t="inlineStr">
        <is>
          <t>2026-07-07 14:00:30</t>
        </is>
      </c>
      <c r="E16" s="2" t="n">
        <v>150</v>
      </c>
      <c r="F16" s="2" t="n">
        <v>150</v>
      </c>
      <c r="G16" s="7" t="n">
        <v>2</v>
      </c>
      <c r="H16" s="2" t="inlineStr">
        <is>
          <t>TAG150</t>
        </is>
      </c>
      <c r="I16" s="2" t="inlineStr">
        <is>
          <t>3008000A0096A1B2C3D4E5F6A7B8C9D0</t>
        </is>
      </c>
      <c r="J16" s="2" t="n">
        <v>1</v>
      </c>
      <c r="K16" s="7" t="n">
        <v>-65.40000000000001</v>
      </c>
      <c r="L16" s="2" t="n">
        <v>0</v>
      </c>
      <c r="M16" s="2" t="inlineStr">
        <is>
          <t>Madeira</t>
        </is>
      </c>
      <c r="N16" s="2" t="inlineStr">
        <is>
          <t xml:space="preserve">Amostra bruta </t>
        </is>
      </c>
    </row>
    <row r="17" ht="30" customHeight="1">
      <c r="A17" s="2" t="inlineStr">
        <is>
          <t>distancia_150cm_2m</t>
        </is>
      </c>
      <c r="B17" s="2" t="n">
        <v>1</v>
      </c>
      <c r="C17" s="2" t="n">
        <v>16</v>
      </c>
      <c r="D17" s="2" t="inlineStr">
        <is>
          <t>2026-07-07 14:00:32</t>
        </is>
      </c>
      <c r="E17" s="2" t="n">
        <v>150</v>
      </c>
      <c r="F17" s="2" t="n">
        <v>150</v>
      </c>
      <c r="G17" s="7" t="n">
        <v>2</v>
      </c>
      <c r="H17" s="2" t="inlineStr">
        <is>
          <t>TAG150</t>
        </is>
      </c>
      <c r="I17" s="2" t="inlineStr">
        <is>
          <t>3008000A0096A1B2C3D4E5F6A7B8C9D0</t>
        </is>
      </c>
      <c r="J17" s="2" t="n">
        <v>1</v>
      </c>
      <c r="K17" s="7" t="n">
        <v>-65.40000000000001</v>
      </c>
      <c r="L17" s="2" t="n">
        <v>0</v>
      </c>
      <c r="M17" s="2" t="inlineStr">
        <is>
          <t>Madeira</t>
        </is>
      </c>
      <c r="N17" s="2" t="inlineStr">
        <is>
          <t xml:space="preserve">Amostra bruta </t>
        </is>
      </c>
    </row>
    <row r="18" ht="30" customHeight="1">
      <c r="A18" s="2" t="inlineStr">
        <is>
          <t>distancia_150cm_2m</t>
        </is>
      </c>
      <c r="B18" s="2" t="n">
        <v>1</v>
      </c>
      <c r="C18" s="2" t="n">
        <v>17</v>
      </c>
      <c r="D18" s="2" t="inlineStr">
        <is>
          <t>2026-07-07 14:00:34</t>
        </is>
      </c>
      <c r="E18" s="2" t="n">
        <v>150</v>
      </c>
      <c r="F18" s="2" t="n">
        <v>150</v>
      </c>
      <c r="G18" s="7" t="n">
        <v>2</v>
      </c>
      <c r="H18" s="2" t="inlineStr">
        <is>
          <t>TAG150</t>
        </is>
      </c>
      <c r="I18" s="2" t="inlineStr">
        <is>
          <t>3008000A0096A1B2C3D4E5F6A7B8C9D0</t>
        </is>
      </c>
      <c r="J18" s="2" t="n">
        <v>1</v>
      </c>
      <c r="K18" s="7" t="n">
        <v>-65.40000000000001</v>
      </c>
      <c r="L18" s="2" t="n">
        <v>0</v>
      </c>
      <c r="M18" s="2" t="inlineStr">
        <is>
          <t>Madeira</t>
        </is>
      </c>
      <c r="N18" s="2" t="inlineStr">
        <is>
          <t xml:space="preserve">Amostra bruta </t>
        </is>
      </c>
    </row>
    <row r="19" ht="30" customHeight="1">
      <c r="A19" s="2" t="inlineStr">
        <is>
          <t>distancia_150cm_2m</t>
        </is>
      </c>
      <c r="B19" s="2" t="n">
        <v>1</v>
      </c>
      <c r="C19" s="2" t="n">
        <v>18</v>
      </c>
      <c r="D19" s="2" t="inlineStr">
        <is>
          <t>2026-07-07 14:00:36</t>
        </is>
      </c>
      <c r="E19" s="2" t="n">
        <v>150</v>
      </c>
      <c r="F19" s="2" t="n">
        <v>150</v>
      </c>
      <c r="G19" s="7" t="n">
        <v>2</v>
      </c>
      <c r="H19" s="2" t="inlineStr">
        <is>
          <t>TAG150</t>
        </is>
      </c>
      <c r="I19" s="2" t="inlineStr">
        <is>
          <t>3008000A0096A1B2C3D4E5F6A7B8C9D0</t>
        </is>
      </c>
      <c r="J19" s="2" t="n">
        <v>1</v>
      </c>
      <c r="K19" s="7" t="n">
        <v>-65.40000000000001</v>
      </c>
      <c r="L19" s="2" t="n">
        <v>0</v>
      </c>
      <c r="M19" s="2" t="inlineStr">
        <is>
          <t>Madeira</t>
        </is>
      </c>
      <c r="N19" s="2" t="inlineStr">
        <is>
          <t xml:space="preserve">Amostra bruta </t>
        </is>
      </c>
    </row>
    <row r="20" ht="30" customHeight="1">
      <c r="A20" s="2" t="inlineStr">
        <is>
          <t>distancia_150cm_2m</t>
        </is>
      </c>
      <c r="B20" s="2" t="n">
        <v>1</v>
      </c>
      <c r="C20" s="2" t="n">
        <v>19</v>
      </c>
      <c r="D20" s="2" t="inlineStr">
        <is>
          <t>2026-07-07 14:00:38</t>
        </is>
      </c>
      <c r="E20" s="2" t="n">
        <v>150</v>
      </c>
      <c r="F20" s="2" t="n">
        <v>150</v>
      </c>
      <c r="G20" s="7" t="n">
        <v>2</v>
      </c>
      <c r="H20" s="2" t="inlineStr">
        <is>
          <t>TAG150</t>
        </is>
      </c>
      <c r="I20" s="2" t="inlineStr">
        <is>
          <t>3008000A0096A1B2C3D4E5F6A7B8C9D0</t>
        </is>
      </c>
      <c r="J20" s="2" t="n">
        <v>1</v>
      </c>
      <c r="K20" s="7" t="n">
        <v>-65.40000000000001</v>
      </c>
      <c r="L20" s="2" t="n">
        <v>0</v>
      </c>
      <c r="M20" s="2" t="inlineStr">
        <is>
          <t>Madeira</t>
        </is>
      </c>
      <c r="N20" s="2" t="inlineStr">
        <is>
          <t xml:space="preserve">Amostra bruta </t>
        </is>
      </c>
    </row>
    <row r="21" ht="30" customHeight="1">
      <c r="A21" s="2" t="inlineStr">
        <is>
          <t>distancia_150cm_2m</t>
        </is>
      </c>
      <c r="B21" s="2" t="n">
        <v>1</v>
      </c>
      <c r="C21" s="2" t="n">
        <v>20</v>
      </c>
      <c r="D21" s="2" t="inlineStr">
        <is>
          <t>2026-07-07 14:00:40</t>
        </is>
      </c>
      <c r="E21" s="2" t="n">
        <v>150</v>
      </c>
      <c r="F21" s="2" t="n">
        <v>150</v>
      </c>
      <c r="G21" s="7" t="n">
        <v>2</v>
      </c>
      <c r="H21" s="2" t="inlineStr">
        <is>
          <t>TAG150</t>
        </is>
      </c>
      <c r="I21" s="2" t="inlineStr">
        <is>
          <t>3008000A0096A1B2C3D4E5F6A7B8C9D0</t>
        </is>
      </c>
      <c r="J21" s="2" t="n">
        <v>1</v>
      </c>
      <c r="K21" s="7" t="n">
        <v>-65.40000000000001</v>
      </c>
      <c r="L21" s="2" t="n">
        <v>0</v>
      </c>
      <c r="M21" s="2" t="inlineStr">
        <is>
          <t>Madeira</t>
        </is>
      </c>
      <c r="N21" s="2" t="inlineStr">
        <is>
          <t xml:space="preserve">Amostra bruta </t>
        </is>
      </c>
    </row>
    <row r="22" ht="30" customHeight="1">
      <c r="A22" s="2" t="inlineStr">
        <is>
          <t>distancia_150cm_2m</t>
        </is>
      </c>
      <c r="B22" s="2" t="n">
        <v>1</v>
      </c>
      <c r="C22" s="2" t="n">
        <v>21</v>
      </c>
      <c r="D22" s="2" t="inlineStr">
        <is>
          <t>2026-07-07 14:00:42</t>
        </is>
      </c>
      <c r="E22" s="2" t="n">
        <v>150</v>
      </c>
      <c r="F22" s="2" t="n">
        <v>150</v>
      </c>
      <c r="G22" s="7" t="n">
        <v>2</v>
      </c>
      <c r="H22" s="2" t="inlineStr">
        <is>
          <t>TAG150</t>
        </is>
      </c>
      <c r="I22" s="2" t="inlineStr">
        <is>
          <t>3008000A0096A1B2C3D4E5F6A7B8C9D0</t>
        </is>
      </c>
      <c r="J22" s="2" t="n">
        <v>1</v>
      </c>
      <c r="K22" s="7" t="n">
        <v>-65.40000000000001</v>
      </c>
      <c r="L22" s="2" t="n">
        <v>0</v>
      </c>
      <c r="M22" s="2" t="inlineStr">
        <is>
          <t>Madeira</t>
        </is>
      </c>
      <c r="N22" s="2" t="inlineStr">
        <is>
          <t xml:space="preserve">Amostra bruta </t>
        </is>
      </c>
    </row>
    <row r="23" ht="30" customHeight="1">
      <c r="A23" s="2" t="inlineStr">
        <is>
          <t>distancia_150cm_2m</t>
        </is>
      </c>
      <c r="B23" s="2" t="n">
        <v>1</v>
      </c>
      <c r="C23" s="2" t="n">
        <v>22</v>
      </c>
      <c r="D23" s="2" t="inlineStr">
        <is>
          <t>2026-07-07 14:00:44</t>
        </is>
      </c>
      <c r="E23" s="2" t="n">
        <v>150</v>
      </c>
      <c r="F23" s="2" t="n">
        <v>150</v>
      </c>
      <c r="G23" s="7" t="n">
        <v>2</v>
      </c>
      <c r="H23" s="2" t="inlineStr">
        <is>
          <t>TAG150</t>
        </is>
      </c>
      <c r="I23" s="2" t="inlineStr">
        <is>
          <t>3008000A0096A1B2C3D4E5F6A7B8C9D0</t>
        </is>
      </c>
      <c r="J23" s="2" t="n">
        <v>1</v>
      </c>
      <c r="K23" s="7" t="n">
        <v>-65.40000000000001</v>
      </c>
      <c r="L23" s="2" t="n">
        <v>0</v>
      </c>
      <c r="M23" s="2" t="inlineStr">
        <is>
          <t>Madeira</t>
        </is>
      </c>
      <c r="N23" s="2" t="inlineStr">
        <is>
          <t xml:space="preserve">Amostra bruta </t>
        </is>
      </c>
    </row>
    <row r="24" ht="30" customHeight="1">
      <c r="A24" s="2" t="inlineStr">
        <is>
          <t>distancia_150cm_2m</t>
        </is>
      </c>
      <c r="B24" s="2" t="n">
        <v>1</v>
      </c>
      <c r="C24" s="2" t="n">
        <v>23</v>
      </c>
      <c r="D24" s="2" t="inlineStr">
        <is>
          <t>2026-07-07 14:00:46</t>
        </is>
      </c>
      <c r="E24" s="2" t="n">
        <v>150</v>
      </c>
      <c r="F24" s="2" t="n">
        <v>150</v>
      </c>
      <c r="G24" s="7" t="n">
        <v>2</v>
      </c>
      <c r="H24" s="2" t="inlineStr">
        <is>
          <t>TAG150</t>
        </is>
      </c>
      <c r="I24" s="2" t="inlineStr">
        <is>
          <t>3008000A0096A1B2C3D4E5F6A7B8C9D0</t>
        </is>
      </c>
      <c r="J24" s="2" t="n">
        <v>1</v>
      </c>
      <c r="K24" s="7" t="n">
        <v>-65.40000000000001</v>
      </c>
      <c r="L24" s="2" t="n">
        <v>0</v>
      </c>
      <c r="M24" s="2" t="inlineStr">
        <is>
          <t>Madeira</t>
        </is>
      </c>
      <c r="N24" s="2" t="inlineStr">
        <is>
          <t xml:space="preserve">Amostra bruta </t>
        </is>
      </c>
    </row>
    <row r="25" ht="30" customHeight="1">
      <c r="A25" s="2" t="inlineStr">
        <is>
          <t>distancia_150cm_2m</t>
        </is>
      </c>
      <c r="B25" s="2" t="n">
        <v>1</v>
      </c>
      <c r="C25" s="2" t="n">
        <v>24</v>
      </c>
      <c r="D25" s="2" t="inlineStr">
        <is>
          <t>2026-07-07 14:00:48</t>
        </is>
      </c>
      <c r="E25" s="2" t="n">
        <v>150</v>
      </c>
      <c r="F25" s="2" t="n">
        <v>150</v>
      </c>
      <c r="G25" s="7" t="n">
        <v>2</v>
      </c>
      <c r="H25" s="2" t="inlineStr">
        <is>
          <t>TAG150</t>
        </is>
      </c>
      <c r="I25" s="2" t="inlineStr">
        <is>
          <t>3008000A0096A1B2C3D4E5F6A7B8C9D0</t>
        </is>
      </c>
      <c r="J25" s="2" t="n">
        <v>1</v>
      </c>
      <c r="K25" s="7" t="n">
        <v>-65.40000000000001</v>
      </c>
      <c r="L25" s="2" t="n">
        <v>0</v>
      </c>
      <c r="M25" s="2" t="inlineStr">
        <is>
          <t>Madeira</t>
        </is>
      </c>
      <c r="N25" s="2" t="inlineStr">
        <is>
          <t xml:space="preserve">Amostra bruta </t>
        </is>
      </c>
    </row>
    <row r="26" ht="30" customHeight="1">
      <c r="A26" s="2" t="inlineStr">
        <is>
          <t>distancia_150cm_2m</t>
        </is>
      </c>
      <c r="B26" s="2" t="n">
        <v>1</v>
      </c>
      <c r="C26" s="2" t="n">
        <v>25</v>
      </c>
      <c r="D26" s="2" t="inlineStr">
        <is>
          <t>2026-07-07 14:00:50</t>
        </is>
      </c>
      <c r="E26" s="2" t="n">
        <v>150</v>
      </c>
      <c r="F26" s="2" t="n">
        <v>150</v>
      </c>
      <c r="G26" s="7" t="n">
        <v>2</v>
      </c>
      <c r="H26" s="2" t="inlineStr">
        <is>
          <t>TAG150</t>
        </is>
      </c>
      <c r="I26" s="2" t="inlineStr">
        <is>
          <t>3008000A0096A1B2C3D4E5F6A7B8C9D0</t>
        </is>
      </c>
      <c r="J26" s="2" t="n">
        <v>1</v>
      </c>
      <c r="K26" s="7" t="n">
        <v>-65.40000000000001</v>
      </c>
      <c r="L26" s="2" t="n">
        <v>0</v>
      </c>
      <c r="M26" s="2" t="inlineStr">
        <is>
          <t>Madeira</t>
        </is>
      </c>
      <c r="N26" s="2" t="inlineStr">
        <is>
          <t xml:space="preserve">Amostra bruta </t>
        </is>
      </c>
    </row>
    <row r="27" ht="30" customHeight="1">
      <c r="A27" s="2" t="inlineStr">
        <is>
          <t>distancia_150cm_2m</t>
        </is>
      </c>
      <c r="B27" s="2" t="n">
        <v>1</v>
      </c>
      <c r="C27" s="2" t="n">
        <v>26</v>
      </c>
      <c r="D27" s="2" t="inlineStr">
        <is>
          <t>2026-07-07 14:00:52</t>
        </is>
      </c>
      <c r="E27" s="2" t="n">
        <v>150</v>
      </c>
      <c r="F27" s="2" t="n">
        <v>150</v>
      </c>
      <c r="G27" s="7" t="n">
        <v>2</v>
      </c>
      <c r="H27" s="2" t="inlineStr">
        <is>
          <t>TAG150</t>
        </is>
      </c>
      <c r="I27" s="2" t="inlineStr">
        <is>
          <t>3008000A0096A1B2C3D4E5F6A7B8C9D0</t>
        </is>
      </c>
      <c r="J27" s="2" t="n">
        <v>1</v>
      </c>
      <c r="K27" s="7" t="n">
        <v>-65.40000000000001</v>
      </c>
      <c r="L27" s="2" t="n">
        <v>0</v>
      </c>
      <c r="M27" s="2" t="inlineStr">
        <is>
          <t>Madeira</t>
        </is>
      </c>
      <c r="N27" s="2" t="inlineStr">
        <is>
          <t xml:space="preserve">Amostra bruta </t>
        </is>
      </c>
    </row>
    <row r="28" ht="30" customHeight="1">
      <c r="A28" s="2" t="inlineStr">
        <is>
          <t>distancia_150cm_2m</t>
        </is>
      </c>
      <c r="B28" s="2" t="n">
        <v>1</v>
      </c>
      <c r="C28" s="2" t="n">
        <v>27</v>
      </c>
      <c r="D28" s="2" t="inlineStr">
        <is>
          <t>2026-07-07 14:00:54</t>
        </is>
      </c>
      <c r="E28" s="2" t="n">
        <v>150</v>
      </c>
      <c r="F28" s="2" t="n">
        <v>150</v>
      </c>
      <c r="G28" s="7" t="n">
        <v>2</v>
      </c>
      <c r="H28" s="2" t="inlineStr">
        <is>
          <t>TAG150</t>
        </is>
      </c>
      <c r="I28" s="2" t="inlineStr">
        <is>
          <t>3008000A0096A1B2C3D4E5F6A7B8C9D0</t>
        </is>
      </c>
      <c r="J28" s="2" t="n">
        <v>0</v>
      </c>
      <c r="K28" s="2" t="inlineStr"/>
      <c r="L28" s="2" t="n">
        <v>0</v>
      </c>
      <c r="M28" s="2" t="inlineStr">
        <is>
          <t>Madeira</t>
        </is>
      </c>
      <c r="N28" s="2" t="inlineStr">
        <is>
          <t xml:space="preserve">Amostra bruta </t>
        </is>
      </c>
    </row>
    <row r="29" ht="30" customHeight="1">
      <c r="A29" s="2" t="inlineStr">
        <is>
          <t>distancia_150cm_2m</t>
        </is>
      </c>
      <c r="B29" s="2" t="n">
        <v>1</v>
      </c>
      <c r="C29" s="2" t="n">
        <v>28</v>
      </c>
      <c r="D29" s="2" t="inlineStr">
        <is>
          <t>2026-07-07 14:00:56</t>
        </is>
      </c>
      <c r="E29" s="2" t="n">
        <v>150</v>
      </c>
      <c r="F29" s="2" t="n">
        <v>150</v>
      </c>
      <c r="G29" s="7" t="n">
        <v>2</v>
      </c>
      <c r="H29" s="2" t="inlineStr">
        <is>
          <t>TAG150</t>
        </is>
      </c>
      <c r="I29" s="2" t="inlineStr">
        <is>
          <t>3008000A0096A1B2C3D4E5F6A7B8C9D0</t>
        </is>
      </c>
      <c r="J29" s="2" t="n">
        <v>0</v>
      </c>
      <c r="K29" s="2" t="inlineStr"/>
      <c r="L29" s="2" t="n">
        <v>0</v>
      </c>
      <c r="M29" s="2" t="inlineStr">
        <is>
          <t>Madeira</t>
        </is>
      </c>
      <c r="N29" s="2" t="inlineStr">
        <is>
          <t xml:space="preserve">Amostra bruta </t>
        </is>
      </c>
    </row>
    <row r="30" ht="30" customHeight="1">
      <c r="A30" s="2" t="inlineStr">
        <is>
          <t>distancia_150cm_2m</t>
        </is>
      </c>
      <c r="B30" s="2" t="n">
        <v>1</v>
      </c>
      <c r="C30" s="2" t="n">
        <v>29</v>
      </c>
      <c r="D30" s="2" t="inlineStr">
        <is>
          <t>2026-07-07 14:00:58</t>
        </is>
      </c>
      <c r="E30" s="2" t="n">
        <v>150</v>
      </c>
      <c r="F30" s="2" t="n">
        <v>150</v>
      </c>
      <c r="G30" s="7" t="n">
        <v>2</v>
      </c>
      <c r="H30" s="2" t="inlineStr">
        <is>
          <t>TAG150</t>
        </is>
      </c>
      <c r="I30" s="2" t="inlineStr">
        <is>
          <t>3008000A0096A1B2C3D4E5F6A7B8C9D0</t>
        </is>
      </c>
      <c r="J30" s="2" t="n">
        <v>0</v>
      </c>
      <c r="K30" s="2" t="inlineStr"/>
      <c r="L30" s="2" t="n">
        <v>0</v>
      </c>
      <c r="M30" s="2" t="inlineStr">
        <is>
          <t>Madeira</t>
        </is>
      </c>
      <c r="N30" s="2" t="inlineStr">
        <is>
          <t xml:space="preserve">Amostra bruta </t>
        </is>
      </c>
    </row>
    <row r="31" ht="30" customHeight="1">
      <c r="A31" s="2" t="inlineStr">
        <is>
          <t>distancia_150cm_2m</t>
        </is>
      </c>
      <c r="B31" s="2" t="n">
        <v>1</v>
      </c>
      <c r="C31" s="2" t="n">
        <v>30</v>
      </c>
      <c r="D31" s="2" t="inlineStr">
        <is>
          <t>2026-07-07 14:01:00</t>
        </is>
      </c>
      <c r="E31" s="2" t="n">
        <v>150</v>
      </c>
      <c r="F31" s="2" t="n">
        <v>150</v>
      </c>
      <c r="G31" s="7" t="n">
        <v>2</v>
      </c>
      <c r="H31" s="2" t="inlineStr">
        <is>
          <t>TAG150</t>
        </is>
      </c>
      <c r="I31" s="2" t="inlineStr">
        <is>
          <t>3008000A0096A1B2C3D4E5F6A7B8C9D0</t>
        </is>
      </c>
      <c r="J31" s="2" t="n">
        <v>0</v>
      </c>
      <c r="K31" s="2" t="inlineStr"/>
      <c r="L31" s="2" t="n">
        <v>0</v>
      </c>
      <c r="M31" s="2" t="inlineStr">
        <is>
          <t>Madeira</t>
        </is>
      </c>
      <c r="N31" s="2" t="inlineStr">
        <is>
          <t xml:space="preserve">Amostra bruta </t>
        </is>
      </c>
    </row>
    <row r="32" ht="30" customHeight="1">
      <c r="A32" s="2" t="inlineStr">
        <is>
          <t>orientacao_45graus</t>
        </is>
      </c>
      <c r="B32" s="2" t="n">
        <v>1</v>
      </c>
      <c r="C32" s="2" t="n">
        <v>1</v>
      </c>
      <c r="D32" s="2" t="inlineStr">
        <is>
          <t>2026-07-07 14:02:02</t>
        </is>
      </c>
      <c r="E32" s="2" t="n">
        <v>150</v>
      </c>
      <c r="F32" s="2" t="n">
        <v>150</v>
      </c>
      <c r="G32" s="7" t="n">
        <v>2</v>
      </c>
      <c r="H32" s="2" t="inlineStr">
        <is>
          <t>TAG150</t>
        </is>
      </c>
      <c r="I32" s="2" t="inlineStr">
        <is>
          <t>3008000A0096A1B2C3D4E5F6A7B8C9D0</t>
        </is>
      </c>
      <c r="J32" s="2" t="n">
        <v>1</v>
      </c>
      <c r="K32" s="7" t="n">
        <v>-73</v>
      </c>
      <c r="L32" s="2" t="n">
        <v>45</v>
      </c>
      <c r="M32" s="2" t="inlineStr">
        <is>
          <t>Madeira</t>
        </is>
      </c>
      <c r="N32" s="2" t="inlineStr">
        <is>
          <t xml:space="preserve">Amostra bruta </t>
        </is>
      </c>
    </row>
    <row r="33" ht="30" customHeight="1">
      <c r="A33" s="2" t="inlineStr">
        <is>
          <t>orientacao_45graus</t>
        </is>
      </c>
      <c r="B33" s="2" t="n">
        <v>1</v>
      </c>
      <c r="C33" s="2" t="n">
        <v>2</v>
      </c>
      <c r="D33" s="2" t="inlineStr">
        <is>
          <t>2026-07-07 14:02:04</t>
        </is>
      </c>
      <c r="E33" s="2" t="n">
        <v>150</v>
      </c>
      <c r="F33" s="2" t="n">
        <v>150</v>
      </c>
      <c r="G33" s="7" t="n">
        <v>2</v>
      </c>
      <c r="H33" s="2" t="inlineStr">
        <is>
          <t>TAG150</t>
        </is>
      </c>
      <c r="I33" s="2" t="inlineStr">
        <is>
          <t>3008000A0096A1B2C3D4E5F6A7B8C9D0</t>
        </is>
      </c>
      <c r="J33" s="2" t="n">
        <v>1</v>
      </c>
      <c r="K33" s="7" t="n">
        <v>-73</v>
      </c>
      <c r="L33" s="2" t="n">
        <v>45</v>
      </c>
      <c r="M33" s="2" t="inlineStr">
        <is>
          <t>Madeira</t>
        </is>
      </c>
      <c r="N33" s="2" t="inlineStr">
        <is>
          <t xml:space="preserve">Amostra bruta </t>
        </is>
      </c>
    </row>
    <row r="34" ht="30" customHeight="1">
      <c r="A34" s="2" t="inlineStr">
        <is>
          <t>orientacao_45graus</t>
        </is>
      </c>
      <c r="B34" s="2" t="n">
        <v>1</v>
      </c>
      <c r="C34" s="2" t="n">
        <v>3</v>
      </c>
      <c r="D34" s="2" t="inlineStr">
        <is>
          <t>2026-07-07 14:02:06</t>
        </is>
      </c>
      <c r="E34" s="2" t="n">
        <v>150</v>
      </c>
      <c r="F34" s="2" t="n">
        <v>150</v>
      </c>
      <c r="G34" s="7" t="n">
        <v>2</v>
      </c>
      <c r="H34" s="2" t="inlineStr">
        <is>
          <t>TAG150</t>
        </is>
      </c>
      <c r="I34" s="2" t="inlineStr">
        <is>
          <t>3008000A0096A1B2C3D4E5F6A7B8C9D0</t>
        </is>
      </c>
      <c r="J34" s="2" t="n">
        <v>1</v>
      </c>
      <c r="K34" s="7" t="n">
        <v>-73</v>
      </c>
      <c r="L34" s="2" t="n">
        <v>45</v>
      </c>
      <c r="M34" s="2" t="inlineStr">
        <is>
          <t>Madeira</t>
        </is>
      </c>
      <c r="N34" s="2" t="inlineStr">
        <is>
          <t xml:space="preserve">Amostra bruta </t>
        </is>
      </c>
    </row>
    <row r="35" ht="30" customHeight="1">
      <c r="A35" s="2" t="inlineStr">
        <is>
          <t>orientacao_45graus</t>
        </is>
      </c>
      <c r="B35" s="2" t="n">
        <v>1</v>
      </c>
      <c r="C35" s="2" t="n">
        <v>4</v>
      </c>
      <c r="D35" s="2" t="inlineStr">
        <is>
          <t>2026-07-07 14:02:08</t>
        </is>
      </c>
      <c r="E35" s="2" t="n">
        <v>150</v>
      </c>
      <c r="F35" s="2" t="n">
        <v>150</v>
      </c>
      <c r="G35" s="7" t="n">
        <v>2</v>
      </c>
      <c r="H35" s="2" t="inlineStr">
        <is>
          <t>TAG150</t>
        </is>
      </c>
      <c r="I35" s="2" t="inlineStr">
        <is>
          <t>3008000A0096A1B2C3D4E5F6A7B8C9D0</t>
        </is>
      </c>
      <c r="J35" s="2" t="n">
        <v>1</v>
      </c>
      <c r="K35" s="7" t="n">
        <v>-73</v>
      </c>
      <c r="L35" s="2" t="n">
        <v>45</v>
      </c>
      <c r="M35" s="2" t="inlineStr">
        <is>
          <t>Madeira</t>
        </is>
      </c>
      <c r="N35" s="2" t="inlineStr">
        <is>
          <t xml:space="preserve">Amostra bruta </t>
        </is>
      </c>
    </row>
    <row r="36" ht="30" customHeight="1">
      <c r="A36" s="2" t="inlineStr">
        <is>
          <t>orientacao_45graus</t>
        </is>
      </c>
      <c r="B36" s="2" t="n">
        <v>1</v>
      </c>
      <c r="C36" s="2" t="n">
        <v>5</v>
      </c>
      <c r="D36" s="2" t="inlineStr">
        <is>
          <t>2026-07-07 14:02:10</t>
        </is>
      </c>
      <c r="E36" s="2" t="n">
        <v>150</v>
      </c>
      <c r="F36" s="2" t="n">
        <v>150</v>
      </c>
      <c r="G36" s="7" t="n">
        <v>2</v>
      </c>
      <c r="H36" s="2" t="inlineStr">
        <is>
          <t>TAG150</t>
        </is>
      </c>
      <c r="I36" s="2" t="inlineStr">
        <is>
          <t>3008000A0096A1B2C3D4E5F6A7B8C9D0</t>
        </is>
      </c>
      <c r="J36" s="2" t="n">
        <v>1</v>
      </c>
      <c r="K36" s="7" t="n">
        <v>-73</v>
      </c>
      <c r="L36" s="2" t="n">
        <v>45</v>
      </c>
      <c r="M36" s="2" t="inlineStr">
        <is>
          <t>Madeira</t>
        </is>
      </c>
      <c r="N36" s="2" t="inlineStr">
        <is>
          <t xml:space="preserve">Amostra bruta </t>
        </is>
      </c>
    </row>
    <row r="37" ht="30" customHeight="1">
      <c r="A37" s="2" t="inlineStr">
        <is>
          <t>orientacao_45graus</t>
        </is>
      </c>
      <c r="B37" s="2" t="n">
        <v>1</v>
      </c>
      <c r="C37" s="2" t="n">
        <v>6</v>
      </c>
      <c r="D37" s="2" t="inlineStr">
        <is>
          <t>2026-07-07 14:02:12</t>
        </is>
      </c>
      <c r="E37" s="2" t="n">
        <v>150</v>
      </c>
      <c r="F37" s="2" t="n">
        <v>150</v>
      </c>
      <c r="G37" s="7" t="n">
        <v>2</v>
      </c>
      <c r="H37" s="2" t="inlineStr">
        <is>
          <t>TAG150</t>
        </is>
      </c>
      <c r="I37" s="2" t="inlineStr">
        <is>
          <t>3008000A0096A1B2C3D4E5F6A7B8C9D0</t>
        </is>
      </c>
      <c r="J37" s="2" t="n">
        <v>1</v>
      </c>
      <c r="K37" s="7" t="n">
        <v>-73</v>
      </c>
      <c r="L37" s="2" t="n">
        <v>45</v>
      </c>
      <c r="M37" s="2" t="inlineStr">
        <is>
          <t>Madeira</t>
        </is>
      </c>
      <c r="N37" s="2" t="inlineStr">
        <is>
          <t xml:space="preserve">Amostra bruta </t>
        </is>
      </c>
    </row>
    <row r="38" ht="30" customHeight="1">
      <c r="A38" s="2" t="inlineStr">
        <is>
          <t>orientacao_45graus</t>
        </is>
      </c>
      <c r="B38" s="2" t="n">
        <v>1</v>
      </c>
      <c r="C38" s="2" t="n">
        <v>7</v>
      </c>
      <c r="D38" s="2" t="inlineStr">
        <is>
          <t>2026-07-07 14:02:14</t>
        </is>
      </c>
      <c r="E38" s="2" t="n">
        <v>150</v>
      </c>
      <c r="F38" s="2" t="n">
        <v>150</v>
      </c>
      <c r="G38" s="7" t="n">
        <v>2</v>
      </c>
      <c r="H38" s="2" t="inlineStr">
        <is>
          <t>TAG150</t>
        </is>
      </c>
      <c r="I38" s="2" t="inlineStr">
        <is>
          <t>3008000A0096A1B2C3D4E5F6A7B8C9D0</t>
        </is>
      </c>
      <c r="J38" s="2" t="n">
        <v>1</v>
      </c>
      <c r="K38" s="7" t="n">
        <v>-73</v>
      </c>
      <c r="L38" s="2" t="n">
        <v>45</v>
      </c>
      <c r="M38" s="2" t="inlineStr">
        <is>
          <t>Madeira</t>
        </is>
      </c>
      <c r="N38" s="2" t="inlineStr">
        <is>
          <t xml:space="preserve">Amostra bruta </t>
        </is>
      </c>
    </row>
    <row r="39" ht="30" customHeight="1">
      <c r="A39" s="2" t="inlineStr">
        <is>
          <t>orientacao_45graus</t>
        </is>
      </c>
      <c r="B39" s="2" t="n">
        <v>1</v>
      </c>
      <c r="C39" s="2" t="n">
        <v>8</v>
      </c>
      <c r="D39" s="2" t="inlineStr">
        <is>
          <t>2026-07-07 14:02:16</t>
        </is>
      </c>
      <c r="E39" s="2" t="n">
        <v>150</v>
      </c>
      <c r="F39" s="2" t="n">
        <v>150</v>
      </c>
      <c r="G39" s="7" t="n">
        <v>2</v>
      </c>
      <c r="H39" s="2" t="inlineStr">
        <is>
          <t>TAG150</t>
        </is>
      </c>
      <c r="I39" s="2" t="inlineStr">
        <is>
          <t>3008000A0096A1B2C3D4E5F6A7B8C9D0</t>
        </is>
      </c>
      <c r="J39" s="2" t="n">
        <v>1</v>
      </c>
      <c r="K39" s="7" t="n">
        <v>-73</v>
      </c>
      <c r="L39" s="2" t="n">
        <v>45</v>
      </c>
      <c r="M39" s="2" t="inlineStr">
        <is>
          <t>Madeira</t>
        </is>
      </c>
      <c r="N39" s="2" t="inlineStr">
        <is>
          <t xml:space="preserve">Amostra bruta </t>
        </is>
      </c>
    </row>
    <row r="40" ht="30" customHeight="1">
      <c r="A40" s="2" t="inlineStr">
        <is>
          <t>orientacao_45graus</t>
        </is>
      </c>
      <c r="B40" s="2" t="n">
        <v>1</v>
      </c>
      <c r="C40" s="2" t="n">
        <v>9</v>
      </c>
      <c r="D40" s="2" t="inlineStr">
        <is>
          <t>2026-07-07 14:02:18</t>
        </is>
      </c>
      <c r="E40" s="2" t="n">
        <v>150</v>
      </c>
      <c r="F40" s="2" t="n">
        <v>150</v>
      </c>
      <c r="G40" s="7" t="n">
        <v>2</v>
      </c>
      <c r="H40" s="2" t="inlineStr">
        <is>
          <t>TAG150</t>
        </is>
      </c>
      <c r="I40" s="2" t="inlineStr">
        <is>
          <t>3008000A0096A1B2C3D4E5F6A7B8C9D0</t>
        </is>
      </c>
      <c r="J40" s="2" t="n">
        <v>1</v>
      </c>
      <c r="K40" s="7" t="n">
        <v>-73</v>
      </c>
      <c r="L40" s="2" t="n">
        <v>45</v>
      </c>
      <c r="M40" s="2" t="inlineStr">
        <is>
          <t>Madeira</t>
        </is>
      </c>
      <c r="N40" s="2" t="inlineStr">
        <is>
          <t xml:space="preserve">Amostra bruta </t>
        </is>
      </c>
    </row>
    <row r="41" ht="30" customHeight="1">
      <c r="A41" s="2" t="inlineStr">
        <is>
          <t>orientacao_45graus</t>
        </is>
      </c>
      <c r="B41" s="2" t="n">
        <v>1</v>
      </c>
      <c r="C41" s="2" t="n">
        <v>10</v>
      </c>
      <c r="D41" s="2" t="inlineStr">
        <is>
          <t>2026-07-07 14:02:20</t>
        </is>
      </c>
      <c r="E41" s="2" t="n">
        <v>150</v>
      </c>
      <c r="F41" s="2" t="n">
        <v>150</v>
      </c>
      <c r="G41" s="7" t="n">
        <v>2</v>
      </c>
      <c r="H41" s="2" t="inlineStr">
        <is>
          <t>TAG150</t>
        </is>
      </c>
      <c r="I41" s="2" t="inlineStr">
        <is>
          <t>3008000A0096A1B2C3D4E5F6A7B8C9D0</t>
        </is>
      </c>
      <c r="J41" s="2" t="n">
        <v>1</v>
      </c>
      <c r="K41" s="7" t="n">
        <v>-73</v>
      </c>
      <c r="L41" s="2" t="n">
        <v>45</v>
      </c>
      <c r="M41" s="2" t="inlineStr">
        <is>
          <t>Madeira</t>
        </is>
      </c>
      <c r="N41" s="2" t="inlineStr">
        <is>
          <t xml:space="preserve">Amostra bruta </t>
        </is>
      </c>
    </row>
    <row r="42" ht="30" customHeight="1">
      <c r="A42" s="2" t="inlineStr">
        <is>
          <t>orientacao_45graus</t>
        </is>
      </c>
      <c r="B42" s="2" t="n">
        <v>1</v>
      </c>
      <c r="C42" s="2" t="n">
        <v>11</v>
      </c>
      <c r="D42" s="2" t="inlineStr">
        <is>
          <t>2026-07-07 14:02:22</t>
        </is>
      </c>
      <c r="E42" s="2" t="n">
        <v>150</v>
      </c>
      <c r="F42" s="2" t="n">
        <v>150</v>
      </c>
      <c r="G42" s="7" t="n">
        <v>2</v>
      </c>
      <c r="H42" s="2" t="inlineStr">
        <is>
          <t>TAG150</t>
        </is>
      </c>
      <c r="I42" s="2" t="inlineStr">
        <is>
          <t>3008000A0096A1B2C3D4E5F6A7B8C9D0</t>
        </is>
      </c>
      <c r="J42" s="2" t="n">
        <v>1</v>
      </c>
      <c r="K42" s="7" t="n">
        <v>-73</v>
      </c>
      <c r="L42" s="2" t="n">
        <v>45</v>
      </c>
      <c r="M42" s="2" t="inlineStr">
        <is>
          <t>Madeira</t>
        </is>
      </c>
      <c r="N42" s="2" t="inlineStr">
        <is>
          <t xml:space="preserve">Amostra bruta </t>
        </is>
      </c>
    </row>
    <row r="43" ht="30" customHeight="1">
      <c r="A43" s="2" t="inlineStr">
        <is>
          <t>orientacao_45graus</t>
        </is>
      </c>
      <c r="B43" s="2" t="n">
        <v>1</v>
      </c>
      <c r="C43" s="2" t="n">
        <v>12</v>
      </c>
      <c r="D43" s="2" t="inlineStr">
        <is>
          <t>2026-07-07 14:02:24</t>
        </is>
      </c>
      <c r="E43" s="2" t="n">
        <v>150</v>
      </c>
      <c r="F43" s="2" t="n">
        <v>150</v>
      </c>
      <c r="G43" s="7" t="n">
        <v>2</v>
      </c>
      <c r="H43" s="2" t="inlineStr">
        <is>
          <t>TAG150</t>
        </is>
      </c>
      <c r="I43" s="2" t="inlineStr">
        <is>
          <t>3008000A0096A1B2C3D4E5F6A7B8C9D0</t>
        </is>
      </c>
      <c r="J43" s="2" t="n">
        <v>1</v>
      </c>
      <c r="K43" s="7" t="n">
        <v>-73</v>
      </c>
      <c r="L43" s="2" t="n">
        <v>45</v>
      </c>
      <c r="M43" s="2" t="inlineStr">
        <is>
          <t>Madeira</t>
        </is>
      </c>
      <c r="N43" s="2" t="inlineStr">
        <is>
          <t xml:space="preserve">Amostra bruta </t>
        </is>
      </c>
    </row>
    <row r="44" ht="30" customHeight="1">
      <c r="A44" s="2" t="inlineStr">
        <is>
          <t>orientacao_45graus</t>
        </is>
      </c>
      <c r="B44" s="2" t="n">
        <v>1</v>
      </c>
      <c r="C44" s="2" t="n">
        <v>13</v>
      </c>
      <c r="D44" s="2" t="inlineStr">
        <is>
          <t>2026-07-07 14:02:26</t>
        </is>
      </c>
      <c r="E44" s="2" t="n">
        <v>150</v>
      </c>
      <c r="F44" s="2" t="n">
        <v>150</v>
      </c>
      <c r="G44" s="7" t="n">
        <v>2</v>
      </c>
      <c r="H44" s="2" t="inlineStr">
        <is>
          <t>TAG150</t>
        </is>
      </c>
      <c r="I44" s="2" t="inlineStr">
        <is>
          <t>3008000A0096A1B2C3D4E5F6A7B8C9D0</t>
        </is>
      </c>
      <c r="J44" s="2" t="n">
        <v>1</v>
      </c>
      <c r="K44" s="7" t="n">
        <v>-73</v>
      </c>
      <c r="L44" s="2" t="n">
        <v>45</v>
      </c>
      <c r="M44" s="2" t="inlineStr">
        <is>
          <t>Madeira</t>
        </is>
      </c>
      <c r="N44" s="2" t="inlineStr">
        <is>
          <t xml:space="preserve">Amostra bruta </t>
        </is>
      </c>
    </row>
    <row r="45" ht="30" customHeight="1">
      <c r="A45" s="2" t="inlineStr">
        <is>
          <t>orientacao_45graus</t>
        </is>
      </c>
      <c r="B45" s="2" t="n">
        <v>1</v>
      </c>
      <c r="C45" s="2" t="n">
        <v>14</v>
      </c>
      <c r="D45" s="2" t="inlineStr">
        <is>
          <t>2026-07-07 14:02:28</t>
        </is>
      </c>
      <c r="E45" s="2" t="n">
        <v>150</v>
      </c>
      <c r="F45" s="2" t="n">
        <v>150</v>
      </c>
      <c r="G45" s="7" t="n">
        <v>2</v>
      </c>
      <c r="H45" s="2" t="inlineStr">
        <is>
          <t>TAG150</t>
        </is>
      </c>
      <c r="I45" s="2" t="inlineStr">
        <is>
          <t>3008000A0096A1B2C3D4E5F6A7B8C9D0</t>
        </is>
      </c>
      <c r="J45" s="2" t="n">
        <v>1</v>
      </c>
      <c r="K45" s="7" t="n">
        <v>-73</v>
      </c>
      <c r="L45" s="2" t="n">
        <v>45</v>
      </c>
      <c r="M45" s="2" t="inlineStr">
        <is>
          <t>Madeira</t>
        </is>
      </c>
      <c r="N45" s="2" t="inlineStr">
        <is>
          <t xml:space="preserve">Amostra bruta </t>
        </is>
      </c>
    </row>
    <row r="46" ht="30" customHeight="1">
      <c r="A46" s="2" t="inlineStr">
        <is>
          <t>orientacao_45graus</t>
        </is>
      </c>
      <c r="B46" s="2" t="n">
        <v>1</v>
      </c>
      <c r="C46" s="2" t="n">
        <v>15</v>
      </c>
      <c r="D46" s="2" t="inlineStr">
        <is>
          <t>2026-07-07 14:02:30</t>
        </is>
      </c>
      <c r="E46" s="2" t="n">
        <v>150</v>
      </c>
      <c r="F46" s="2" t="n">
        <v>150</v>
      </c>
      <c r="G46" s="7" t="n">
        <v>2</v>
      </c>
      <c r="H46" s="2" t="inlineStr">
        <is>
          <t>TAG150</t>
        </is>
      </c>
      <c r="I46" s="2" t="inlineStr">
        <is>
          <t>3008000A0096A1B2C3D4E5F6A7B8C9D0</t>
        </is>
      </c>
      <c r="J46" s="2" t="n">
        <v>1</v>
      </c>
      <c r="K46" s="7" t="n">
        <v>-73</v>
      </c>
      <c r="L46" s="2" t="n">
        <v>45</v>
      </c>
      <c r="M46" s="2" t="inlineStr">
        <is>
          <t>Madeira</t>
        </is>
      </c>
      <c r="N46" s="2" t="inlineStr">
        <is>
          <t xml:space="preserve">Amostra bruta </t>
        </is>
      </c>
    </row>
    <row r="47" ht="30" customHeight="1">
      <c r="A47" s="2" t="inlineStr">
        <is>
          <t>orientacao_45graus</t>
        </is>
      </c>
      <c r="B47" s="2" t="n">
        <v>1</v>
      </c>
      <c r="C47" s="2" t="n">
        <v>16</v>
      </c>
      <c r="D47" s="2" t="inlineStr">
        <is>
          <t>2026-07-07 14:02:32</t>
        </is>
      </c>
      <c r="E47" s="2" t="n">
        <v>150</v>
      </c>
      <c r="F47" s="2" t="n">
        <v>150</v>
      </c>
      <c r="G47" s="7" t="n">
        <v>2</v>
      </c>
      <c r="H47" s="2" t="inlineStr">
        <is>
          <t>TAG150</t>
        </is>
      </c>
      <c r="I47" s="2" t="inlineStr">
        <is>
          <t>3008000A0096A1B2C3D4E5F6A7B8C9D0</t>
        </is>
      </c>
      <c r="J47" s="2" t="n">
        <v>1</v>
      </c>
      <c r="K47" s="7" t="n">
        <v>-73</v>
      </c>
      <c r="L47" s="2" t="n">
        <v>45</v>
      </c>
      <c r="M47" s="2" t="inlineStr">
        <is>
          <t>Madeira</t>
        </is>
      </c>
      <c r="N47" s="2" t="inlineStr">
        <is>
          <t xml:space="preserve">Amostra bruta </t>
        </is>
      </c>
    </row>
    <row r="48" ht="30" customHeight="1">
      <c r="A48" s="2" t="inlineStr">
        <is>
          <t>orientacao_45graus</t>
        </is>
      </c>
      <c r="B48" s="2" t="n">
        <v>1</v>
      </c>
      <c r="C48" s="2" t="n">
        <v>17</v>
      </c>
      <c r="D48" s="2" t="inlineStr">
        <is>
          <t>2026-07-07 14:02:34</t>
        </is>
      </c>
      <c r="E48" s="2" t="n">
        <v>150</v>
      </c>
      <c r="F48" s="2" t="n">
        <v>150</v>
      </c>
      <c r="G48" s="7" t="n">
        <v>2</v>
      </c>
      <c r="H48" s="2" t="inlineStr">
        <is>
          <t>TAG150</t>
        </is>
      </c>
      <c r="I48" s="2" t="inlineStr">
        <is>
          <t>3008000A0096A1B2C3D4E5F6A7B8C9D0</t>
        </is>
      </c>
      <c r="J48" s="2" t="n">
        <v>1</v>
      </c>
      <c r="K48" s="7" t="n">
        <v>-73</v>
      </c>
      <c r="L48" s="2" t="n">
        <v>45</v>
      </c>
      <c r="M48" s="2" t="inlineStr">
        <is>
          <t>Madeira</t>
        </is>
      </c>
      <c r="N48" s="2" t="inlineStr">
        <is>
          <t xml:space="preserve">Amostra bruta </t>
        </is>
      </c>
    </row>
    <row r="49" ht="30" customHeight="1">
      <c r="A49" s="2" t="inlineStr">
        <is>
          <t>orientacao_45graus</t>
        </is>
      </c>
      <c r="B49" s="2" t="n">
        <v>1</v>
      </c>
      <c r="C49" s="2" t="n">
        <v>18</v>
      </c>
      <c r="D49" s="2" t="inlineStr">
        <is>
          <t>2026-07-07 14:02:36</t>
        </is>
      </c>
      <c r="E49" s="2" t="n">
        <v>150</v>
      </c>
      <c r="F49" s="2" t="n">
        <v>150</v>
      </c>
      <c r="G49" s="7" t="n">
        <v>2</v>
      </c>
      <c r="H49" s="2" t="inlineStr">
        <is>
          <t>TAG150</t>
        </is>
      </c>
      <c r="I49" s="2" t="inlineStr">
        <is>
          <t>3008000A0096A1B2C3D4E5F6A7B8C9D0</t>
        </is>
      </c>
      <c r="J49" s="2" t="n">
        <v>1</v>
      </c>
      <c r="K49" s="7" t="n">
        <v>-73</v>
      </c>
      <c r="L49" s="2" t="n">
        <v>45</v>
      </c>
      <c r="M49" s="2" t="inlineStr">
        <is>
          <t>Madeira</t>
        </is>
      </c>
      <c r="N49" s="2" t="inlineStr">
        <is>
          <t xml:space="preserve">Amostra bruta </t>
        </is>
      </c>
    </row>
    <row r="50" ht="30" customHeight="1">
      <c r="A50" s="2" t="inlineStr">
        <is>
          <t>orientacao_45graus</t>
        </is>
      </c>
      <c r="B50" s="2" t="n">
        <v>1</v>
      </c>
      <c r="C50" s="2" t="n">
        <v>19</v>
      </c>
      <c r="D50" s="2" t="inlineStr">
        <is>
          <t>2026-07-07 14:02:38</t>
        </is>
      </c>
      <c r="E50" s="2" t="n">
        <v>150</v>
      </c>
      <c r="F50" s="2" t="n">
        <v>150</v>
      </c>
      <c r="G50" s="7" t="n">
        <v>2</v>
      </c>
      <c r="H50" s="2" t="inlineStr">
        <is>
          <t>TAG150</t>
        </is>
      </c>
      <c r="I50" s="2" t="inlineStr">
        <is>
          <t>3008000A0096A1B2C3D4E5F6A7B8C9D0</t>
        </is>
      </c>
      <c r="J50" s="2" t="n">
        <v>1</v>
      </c>
      <c r="K50" s="7" t="n">
        <v>-73</v>
      </c>
      <c r="L50" s="2" t="n">
        <v>45</v>
      </c>
      <c r="M50" s="2" t="inlineStr">
        <is>
          <t>Madeira</t>
        </is>
      </c>
      <c r="N50" s="2" t="inlineStr">
        <is>
          <t xml:space="preserve">Amostra bruta </t>
        </is>
      </c>
    </row>
    <row r="51" ht="30" customHeight="1">
      <c r="A51" s="2" t="inlineStr">
        <is>
          <t>orientacao_45graus</t>
        </is>
      </c>
      <c r="B51" s="2" t="n">
        <v>1</v>
      </c>
      <c r="C51" s="2" t="n">
        <v>20</v>
      </c>
      <c r="D51" s="2" t="inlineStr">
        <is>
          <t>2026-07-07 14:02:40</t>
        </is>
      </c>
      <c r="E51" s="2" t="n">
        <v>150</v>
      </c>
      <c r="F51" s="2" t="n">
        <v>150</v>
      </c>
      <c r="G51" s="7" t="n">
        <v>2</v>
      </c>
      <c r="H51" s="2" t="inlineStr">
        <is>
          <t>TAG150</t>
        </is>
      </c>
      <c r="I51" s="2" t="inlineStr">
        <is>
          <t>3008000A0096A1B2C3D4E5F6A7B8C9D0</t>
        </is>
      </c>
      <c r="J51" s="2" t="n">
        <v>0</v>
      </c>
      <c r="K51" s="2" t="inlineStr"/>
      <c r="L51" s="2" t="n">
        <v>45</v>
      </c>
      <c r="M51" s="2" t="inlineStr">
        <is>
          <t>Madeira</t>
        </is>
      </c>
      <c r="N51" s="2" t="inlineStr">
        <is>
          <t xml:space="preserve">Amostra bruta </t>
        </is>
      </c>
    </row>
    <row r="52" ht="30" customHeight="1">
      <c r="A52" s="2" t="inlineStr">
        <is>
          <t>orientacao_45graus</t>
        </is>
      </c>
      <c r="B52" s="2" t="n">
        <v>1</v>
      </c>
      <c r="C52" s="2" t="n">
        <v>21</v>
      </c>
      <c r="D52" s="2" t="inlineStr">
        <is>
          <t>2026-07-07 14:02:42</t>
        </is>
      </c>
      <c r="E52" s="2" t="n">
        <v>150</v>
      </c>
      <c r="F52" s="2" t="n">
        <v>150</v>
      </c>
      <c r="G52" s="7" t="n">
        <v>2</v>
      </c>
      <c r="H52" s="2" t="inlineStr">
        <is>
          <t>TAG150</t>
        </is>
      </c>
      <c r="I52" s="2" t="inlineStr">
        <is>
          <t>3008000A0096A1B2C3D4E5F6A7B8C9D0</t>
        </is>
      </c>
      <c r="J52" s="2" t="n">
        <v>0</v>
      </c>
      <c r="K52" s="2" t="inlineStr"/>
      <c r="L52" s="2" t="n">
        <v>45</v>
      </c>
      <c r="M52" s="2" t="inlineStr">
        <is>
          <t>Madeira</t>
        </is>
      </c>
      <c r="N52" s="2" t="inlineStr">
        <is>
          <t xml:space="preserve">Amostra bruta </t>
        </is>
      </c>
    </row>
    <row r="53" ht="30" customHeight="1">
      <c r="A53" s="2" t="inlineStr">
        <is>
          <t>orientacao_45graus</t>
        </is>
      </c>
      <c r="B53" s="2" t="n">
        <v>1</v>
      </c>
      <c r="C53" s="2" t="n">
        <v>22</v>
      </c>
      <c r="D53" s="2" t="inlineStr">
        <is>
          <t>2026-07-07 14:02:44</t>
        </is>
      </c>
      <c r="E53" s="2" t="n">
        <v>150</v>
      </c>
      <c r="F53" s="2" t="n">
        <v>150</v>
      </c>
      <c r="G53" s="7" t="n">
        <v>2</v>
      </c>
      <c r="H53" s="2" t="inlineStr">
        <is>
          <t>TAG150</t>
        </is>
      </c>
      <c r="I53" s="2" t="inlineStr">
        <is>
          <t>3008000A0096A1B2C3D4E5F6A7B8C9D0</t>
        </is>
      </c>
      <c r="J53" s="2" t="n">
        <v>0</v>
      </c>
      <c r="K53" s="2" t="inlineStr"/>
      <c r="L53" s="2" t="n">
        <v>45</v>
      </c>
      <c r="M53" s="2" t="inlineStr">
        <is>
          <t>Madeira</t>
        </is>
      </c>
      <c r="N53" s="2" t="inlineStr">
        <is>
          <t xml:space="preserve">Amostra bruta </t>
        </is>
      </c>
    </row>
    <row r="54" ht="30" customHeight="1">
      <c r="A54" s="2" t="inlineStr">
        <is>
          <t>orientacao_45graus</t>
        </is>
      </c>
      <c r="B54" s="2" t="n">
        <v>1</v>
      </c>
      <c r="C54" s="2" t="n">
        <v>23</v>
      </c>
      <c r="D54" s="2" t="inlineStr">
        <is>
          <t>2026-07-07 14:02:46</t>
        </is>
      </c>
      <c r="E54" s="2" t="n">
        <v>150</v>
      </c>
      <c r="F54" s="2" t="n">
        <v>150</v>
      </c>
      <c r="G54" s="7" t="n">
        <v>2</v>
      </c>
      <c r="H54" s="2" t="inlineStr">
        <is>
          <t>TAG150</t>
        </is>
      </c>
      <c r="I54" s="2" t="inlineStr">
        <is>
          <t>3008000A0096A1B2C3D4E5F6A7B8C9D0</t>
        </is>
      </c>
      <c r="J54" s="2" t="n">
        <v>0</v>
      </c>
      <c r="K54" s="2" t="inlineStr"/>
      <c r="L54" s="2" t="n">
        <v>45</v>
      </c>
      <c r="M54" s="2" t="inlineStr">
        <is>
          <t>Madeira</t>
        </is>
      </c>
      <c r="N54" s="2" t="inlineStr">
        <is>
          <t xml:space="preserve">Amostra bruta </t>
        </is>
      </c>
    </row>
    <row r="55" ht="30" customHeight="1">
      <c r="A55" s="2" t="inlineStr">
        <is>
          <t>orientacao_45graus</t>
        </is>
      </c>
      <c r="B55" s="2" t="n">
        <v>1</v>
      </c>
      <c r="C55" s="2" t="n">
        <v>24</v>
      </c>
      <c r="D55" s="2" t="inlineStr">
        <is>
          <t>2026-07-07 14:02:48</t>
        </is>
      </c>
      <c r="E55" s="2" t="n">
        <v>150</v>
      </c>
      <c r="F55" s="2" t="n">
        <v>150</v>
      </c>
      <c r="G55" s="7" t="n">
        <v>2</v>
      </c>
      <c r="H55" s="2" t="inlineStr">
        <is>
          <t>TAG150</t>
        </is>
      </c>
      <c r="I55" s="2" t="inlineStr">
        <is>
          <t>3008000A0096A1B2C3D4E5F6A7B8C9D0</t>
        </is>
      </c>
      <c r="J55" s="2" t="n">
        <v>0</v>
      </c>
      <c r="K55" s="2" t="inlineStr"/>
      <c r="L55" s="2" t="n">
        <v>45</v>
      </c>
      <c r="M55" s="2" t="inlineStr">
        <is>
          <t>Madeira</t>
        </is>
      </c>
      <c r="N55" s="2" t="inlineStr">
        <is>
          <t xml:space="preserve">Amostra bruta </t>
        </is>
      </c>
    </row>
    <row r="56" ht="30" customHeight="1">
      <c r="A56" s="2" t="inlineStr">
        <is>
          <t>orientacao_45graus</t>
        </is>
      </c>
      <c r="B56" s="2" t="n">
        <v>1</v>
      </c>
      <c r="C56" s="2" t="n">
        <v>25</v>
      </c>
      <c r="D56" s="2" t="inlineStr">
        <is>
          <t>2026-07-07 14:02:50</t>
        </is>
      </c>
      <c r="E56" s="2" t="n">
        <v>150</v>
      </c>
      <c r="F56" s="2" t="n">
        <v>150</v>
      </c>
      <c r="G56" s="7" t="n">
        <v>2</v>
      </c>
      <c r="H56" s="2" t="inlineStr">
        <is>
          <t>TAG150</t>
        </is>
      </c>
      <c r="I56" s="2" t="inlineStr">
        <is>
          <t>3008000A0096A1B2C3D4E5F6A7B8C9D0</t>
        </is>
      </c>
      <c r="J56" s="2" t="n">
        <v>0</v>
      </c>
      <c r="K56" s="2" t="inlineStr"/>
      <c r="L56" s="2" t="n">
        <v>45</v>
      </c>
      <c r="M56" s="2" t="inlineStr">
        <is>
          <t>Madeira</t>
        </is>
      </c>
      <c r="N56" s="2" t="inlineStr">
        <is>
          <t xml:space="preserve">Amostra bruta </t>
        </is>
      </c>
    </row>
    <row r="57" ht="30" customHeight="1">
      <c r="A57" s="2" t="inlineStr">
        <is>
          <t>orientacao_45graus</t>
        </is>
      </c>
      <c r="B57" s="2" t="n">
        <v>1</v>
      </c>
      <c r="C57" s="2" t="n">
        <v>26</v>
      </c>
      <c r="D57" s="2" t="inlineStr">
        <is>
          <t>2026-07-07 14:02:52</t>
        </is>
      </c>
      <c r="E57" s="2" t="n">
        <v>150</v>
      </c>
      <c r="F57" s="2" t="n">
        <v>150</v>
      </c>
      <c r="G57" s="7" t="n">
        <v>2</v>
      </c>
      <c r="H57" s="2" t="inlineStr">
        <is>
          <t>TAG150</t>
        </is>
      </c>
      <c r="I57" s="2" t="inlineStr">
        <is>
          <t>3008000A0096A1B2C3D4E5F6A7B8C9D0</t>
        </is>
      </c>
      <c r="J57" s="2" t="n">
        <v>0</v>
      </c>
      <c r="K57" s="2" t="inlineStr"/>
      <c r="L57" s="2" t="n">
        <v>45</v>
      </c>
      <c r="M57" s="2" t="inlineStr">
        <is>
          <t>Madeira</t>
        </is>
      </c>
      <c r="N57" s="2" t="inlineStr">
        <is>
          <t xml:space="preserve">Amostra bruta </t>
        </is>
      </c>
    </row>
    <row r="58" ht="30" customHeight="1">
      <c r="A58" s="2" t="inlineStr">
        <is>
          <t>orientacao_45graus</t>
        </is>
      </c>
      <c r="B58" s="2" t="n">
        <v>1</v>
      </c>
      <c r="C58" s="2" t="n">
        <v>27</v>
      </c>
      <c r="D58" s="2" t="inlineStr">
        <is>
          <t>2026-07-07 14:02:54</t>
        </is>
      </c>
      <c r="E58" s="2" t="n">
        <v>150</v>
      </c>
      <c r="F58" s="2" t="n">
        <v>150</v>
      </c>
      <c r="G58" s="7" t="n">
        <v>2</v>
      </c>
      <c r="H58" s="2" t="inlineStr">
        <is>
          <t>TAG150</t>
        </is>
      </c>
      <c r="I58" s="2" t="inlineStr">
        <is>
          <t>3008000A0096A1B2C3D4E5F6A7B8C9D0</t>
        </is>
      </c>
      <c r="J58" s="2" t="n">
        <v>0</v>
      </c>
      <c r="K58" s="2" t="inlineStr"/>
      <c r="L58" s="2" t="n">
        <v>45</v>
      </c>
      <c r="M58" s="2" t="inlineStr">
        <is>
          <t>Madeira</t>
        </is>
      </c>
      <c r="N58" s="2" t="inlineStr">
        <is>
          <t xml:space="preserve">Amostra bruta </t>
        </is>
      </c>
    </row>
    <row r="59" ht="30" customHeight="1">
      <c r="A59" s="2" t="inlineStr">
        <is>
          <t>orientacao_45graus</t>
        </is>
      </c>
      <c r="B59" s="2" t="n">
        <v>1</v>
      </c>
      <c r="C59" s="2" t="n">
        <v>28</v>
      </c>
      <c r="D59" s="2" t="inlineStr">
        <is>
          <t>2026-07-07 14:02:56</t>
        </is>
      </c>
      <c r="E59" s="2" t="n">
        <v>150</v>
      </c>
      <c r="F59" s="2" t="n">
        <v>150</v>
      </c>
      <c r="G59" s="7" t="n">
        <v>2</v>
      </c>
      <c r="H59" s="2" t="inlineStr">
        <is>
          <t>TAG150</t>
        </is>
      </c>
      <c r="I59" s="2" t="inlineStr">
        <is>
          <t>3008000A0096A1B2C3D4E5F6A7B8C9D0</t>
        </is>
      </c>
      <c r="J59" s="2" t="n">
        <v>0</v>
      </c>
      <c r="K59" s="2" t="inlineStr"/>
      <c r="L59" s="2" t="n">
        <v>45</v>
      </c>
      <c r="M59" s="2" t="inlineStr">
        <is>
          <t>Madeira</t>
        </is>
      </c>
      <c r="N59" s="2" t="inlineStr">
        <is>
          <t xml:space="preserve">Amostra bruta </t>
        </is>
      </c>
    </row>
    <row r="60" ht="30" customHeight="1">
      <c r="A60" s="2" t="inlineStr">
        <is>
          <t>orientacao_45graus</t>
        </is>
      </c>
      <c r="B60" s="2" t="n">
        <v>1</v>
      </c>
      <c r="C60" s="2" t="n">
        <v>29</v>
      </c>
      <c r="D60" s="2" t="inlineStr">
        <is>
          <t>2026-07-07 14:02:58</t>
        </is>
      </c>
      <c r="E60" s="2" t="n">
        <v>150</v>
      </c>
      <c r="F60" s="2" t="n">
        <v>150</v>
      </c>
      <c r="G60" s="7" t="n">
        <v>2</v>
      </c>
      <c r="H60" s="2" t="inlineStr">
        <is>
          <t>TAG150</t>
        </is>
      </c>
      <c r="I60" s="2" t="inlineStr">
        <is>
          <t>3008000A0096A1B2C3D4E5F6A7B8C9D0</t>
        </is>
      </c>
      <c r="J60" s="2" t="n">
        <v>0</v>
      </c>
      <c r="K60" s="2" t="inlineStr"/>
      <c r="L60" s="2" t="n">
        <v>45</v>
      </c>
      <c r="M60" s="2" t="inlineStr">
        <is>
          <t>Madeira</t>
        </is>
      </c>
      <c r="N60" s="2" t="inlineStr">
        <is>
          <t xml:space="preserve">Amostra bruta </t>
        </is>
      </c>
    </row>
    <row r="61" ht="30" customHeight="1">
      <c r="A61" s="2" t="inlineStr">
        <is>
          <t>orientacao_45graus</t>
        </is>
      </c>
      <c r="B61" s="2" t="n">
        <v>1</v>
      </c>
      <c r="C61" s="2" t="n">
        <v>30</v>
      </c>
      <c r="D61" s="2" t="inlineStr">
        <is>
          <t>2026-07-07 14:03:00</t>
        </is>
      </c>
      <c r="E61" s="2" t="n">
        <v>150</v>
      </c>
      <c r="F61" s="2" t="n">
        <v>150</v>
      </c>
      <c r="G61" s="7" t="n">
        <v>2</v>
      </c>
      <c r="H61" s="2" t="inlineStr">
        <is>
          <t>TAG150</t>
        </is>
      </c>
      <c r="I61" s="2" t="inlineStr">
        <is>
          <t>3008000A0096A1B2C3D4E5F6A7B8C9D0</t>
        </is>
      </c>
      <c r="J61" s="2" t="n">
        <v>0</v>
      </c>
      <c r="K61" s="2" t="inlineStr"/>
      <c r="L61" s="2" t="n">
        <v>45</v>
      </c>
      <c r="M61" s="2" t="inlineStr">
        <is>
          <t>Madeira</t>
        </is>
      </c>
      <c r="N61" s="2" t="inlineStr">
        <is>
          <t xml:space="preserve">Amostra bruta </t>
        </is>
      </c>
    </row>
    <row r="62" ht="30" customHeight="1">
      <c r="A62" s="2" t="inlineStr">
        <is>
          <t>material_metal_direto</t>
        </is>
      </c>
      <c r="B62" s="2" t="n">
        <v>1</v>
      </c>
      <c r="C62" s="2" t="n">
        <v>1</v>
      </c>
      <c r="D62" s="2" t="inlineStr">
        <is>
          <t>2026-07-07 14:04:02</t>
        </is>
      </c>
      <c r="E62" s="2" t="n">
        <v>150</v>
      </c>
      <c r="F62" s="2" t="n">
        <v>80</v>
      </c>
      <c r="G62" s="7" t="n">
        <v>2</v>
      </c>
      <c r="H62" s="2" t="inlineStr">
        <is>
          <t>TAG080</t>
        </is>
      </c>
      <c r="I62" s="2" t="inlineStr">
        <is>
          <t>300800030050A1B2C3D4E5F6A7B8C9D0</t>
        </is>
      </c>
      <c r="J62" s="2" t="n">
        <v>1</v>
      </c>
      <c r="K62" s="7" t="n">
        <v>-88</v>
      </c>
      <c r="L62" s="2" t="n">
        <v>0</v>
      </c>
      <c r="M62" s="2" t="inlineStr">
        <is>
          <t>Metal direto</t>
        </is>
      </c>
      <c r="N62" s="2" t="inlineStr">
        <is>
          <t>Amostra bruta  - degradacao</t>
        </is>
      </c>
    </row>
    <row r="63" ht="30" customHeight="1">
      <c r="A63" s="2" t="inlineStr">
        <is>
          <t>material_metal_direto</t>
        </is>
      </c>
      <c r="B63" s="2" t="n">
        <v>1</v>
      </c>
      <c r="C63" s="2" t="n">
        <v>2</v>
      </c>
      <c r="D63" s="2" t="inlineStr">
        <is>
          <t>2026-07-07 14:04:04</t>
        </is>
      </c>
      <c r="E63" s="2" t="n">
        <v>150</v>
      </c>
      <c r="F63" s="2" t="n">
        <v>80</v>
      </c>
      <c r="G63" s="7" t="n">
        <v>2</v>
      </c>
      <c r="H63" s="2" t="inlineStr">
        <is>
          <t>TAG080</t>
        </is>
      </c>
      <c r="I63" s="2" t="inlineStr">
        <is>
          <t>300800030050A1B2C3D4E5F6A7B8C9D0</t>
        </is>
      </c>
      <c r="J63" s="2" t="n">
        <v>1</v>
      </c>
      <c r="K63" s="7" t="n">
        <v>-88</v>
      </c>
      <c r="L63" s="2" t="n">
        <v>0</v>
      </c>
      <c r="M63" s="2" t="inlineStr">
        <is>
          <t>Metal direto</t>
        </is>
      </c>
      <c r="N63" s="2" t="inlineStr">
        <is>
          <t>Amostra bruta  - degradacao</t>
        </is>
      </c>
    </row>
    <row r="64" ht="30" customHeight="1">
      <c r="A64" s="2" t="inlineStr">
        <is>
          <t>material_metal_direto</t>
        </is>
      </c>
      <c r="B64" s="2" t="n">
        <v>1</v>
      </c>
      <c r="C64" s="2" t="n">
        <v>3</v>
      </c>
      <c r="D64" s="2" t="inlineStr">
        <is>
          <t>2026-07-07 14:04:06</t>
        </is>
      </c>
      <c r="E64" s="2" t="n">
        <v>150</v>
      </c>
      <c r="F64" s="2" t="n">
        <v>80</v>
      </c>
      <c r="G64" s="7" t="n">
        <v>2</v>
      </c>
      <c r="H64" s="2" t="inlineStr">
        <is>
          <t>TAG080</t>
        </is>
      </c>
      <c r="I64" s="2" t="inlineStr">
        <is>
          <t>300800030050A1B2C3D4E5F6A7B8C9D0</t>
        </is>
      </c>
      <c r="J64" s="2" t="n">
        <v>0</v>
      </c>
      <c r="K64" s="2" t="inlineStr"/>
      <c r="L64" s="2" t="n">
        <v>0</v>
      </c>
      <c r="M64" s="2" t="inlineStr">
        <is>
          <t>Metal direto</t>
        </is>
      </c>
      <c r="N64" s="2" t="inlineStr">
        <is>
          <t>Amostra bruta  - degradacao</t>
        </is>
      </c>
    </row>
    <row r="65" ht="30" customHeight="1">
      <c r="A65" s="2" t="inlineStr">
        <is>
          <t>material_metal_direto</t>
        </is>
      </c>
      <c r="B65" s="2" t="n">
        <v>1</v>
      </c>
      <c r="C65" s="2" t="n">
        <v>4</v>
      </c>
      <c r="D65" s="2" t="inlineStr">
        <is>
          <t>2026-07-07 14:04:08</t>
        </is>
      </c>
      <c r="E65" s="2" t="n">
        <v>150</v>
      </c>
      <c r="F65" s="2" t="n">
        <v>80</v>
      </c>
      <c r="G65" s="7" t="n">
        <v>2</v>
      </c>
      <c r="H65" s="2" t="inlineStr">
        <is>
          <t>TAG080</t>
        </is>
      </c>
      <c r="I65" s="2" t="inlineStr">
        <is>
          <t>300800030050A1B2C3D4E5F6A7B8C9D0</t>
        </is>
      </c>
      <c r="J65" s="2" t="n">
        <v>0</v>
      </c>
      <c r="K65" s="2" t="inlineStr"/>
      <c r="L65" s="2" t="n">
        <v>0</v>
      </c>
      <c r="M65" s="2" t="inlineStr">
        <is>
          <t>Metal direto</t>
        </is>
      </c>
      <c r="N65" s="2" t="inlineStr">
        <is>
          <t>Amostra bruta  - degradacao</t>
        </is>
      </c>
    </row>
    <row r="66" ht="30" customHeight="1">
      <c r="A66" s="2" t="inlineStr">
        <is>
          <t>material_metal_direto</t>
        </is>
      </c>
      <c r="B66" s="2" t="n">
        <v>1</v>
      </c>
      <c r="C66" s="2" t="n">
        <v>5</v>
      </c>
      <c r="D66" s="2" t="inlineStr">
        <is>
          <t>2026-07-07 14:04:10</t>
        </is>
      </c>
      <c r="E66" s="2" t="n">
        <v>150</v>
      </c>
      <c r="F66" s="2" t="n">
        <v>80</v>
      </c>
      <c r="G66" s="7" t="n">
        <v>2</v>
      </c>
      <c r="H66" s="2" t="inlineStr">
        <is>
          <t>TAG080</t>
        </is>
      </c>
      <c r="I66" s="2" t="inlineStr">
        <is>
          <t>300800030050A1B2C3D4E5F6A7B8C9D0</t>
        </is>
      </c>
      <c r="J66" s="2" t="n">
        <v>0</v>
      </c>
      <c r="K66" s="2" t="inlineStr"/>
      <c r="L66" s="2" t="n">
        <v>0</v>
      </c>
      <c r="M66" s="2" t="inlineStr">
        <is>
          <t>Metal direto</t>
        </is>
      </c>
      <c r="N66" s="2" t="inlineStr">
        <is>
          <t>Amostra bruta  - degradacao</t>
        </is>
      </c>
    </row>
    <row r="67" ht="30" customHeight="1">
      <c r="A67" s="2" t="inlineStr">
        <is>
          <t>material_metal_direto</t>
        </is>
      </c>
      <c r="B67" s="2" t="n">
        <v>1</v>
      </c>
      <c r="C67" s="2" t="n">
        <v>6</v>
      </c>
      <c r="D67" s="2" t="inlineStr">
        <is>
          <t>2026-07-07 14:04:12</t>
        </is>
      </c>
      <c r="E67" s="2" t="n">
        <v>150</v>
      </c>
      <c r="F67" s="2" t="n">
        <v>80</v>
      </c>
      <c r="G67" s="7" t="n">
        <v>2</v>
      </c>
      <c r="H67" s="2" t="inlineStr">
        <is>
          <t>TAG080</t>
        </is>
      </c>
      <c r="I67" s="2" t="inlineStr">
        <is>
          <t>300800030050A1B2C3D4E5F6A7B8C9D0</t>
        </is>
      </c>
      <c r="J67" s="2" t="n">
        <v>0</v>
      </c>
      <c r="K67" s="2" t="inlineStr"/>
      <c r="L67" s="2" t="n">
        <v>0</v>
      </c>
      <c r="M67" s="2" t="inlineStr">
        <is>
          <t>Metal direto</t>
        </is>
      </c>
      <c r="N67" s="2" t="inlineStr">
        <is>
          <t>Amostra bruta  - degradacao</t>
        </is>
      </c>
    </row>
    <row r="68" ht="30" customHeight="1">
      <c r="A68" s="2" t="inlineStr">
        <is>
          <t>material_metal_direto</t>
        </is>
      </c>
      <c r="B68" s="2" t="n">
        <v>1</v>
      </c>
      <c r="C68" s="2" t="n">
        <v>7</v>
      </c>
      <c r="D68" s="2" t="inlineStr">
        <is>
          <t>2026-07-07 14:04:14</t>
        </is>
      </c>
      <c r="E68" s="2" t="n">
        <v>150</v>
      </c>
      <c r="F68" s="2" t="n">
        <v>80</v>
      </c>
      <c r="G68" s="7" t="n">
        <v>2</v>
      </c>
      <c r="H68" s="2" t="inlineStr">
        <is>
          <t>TAG080</t>
        </is>
      </c>
      <c r="I68" s="2" t="inlineStr">
        <is>
          <t>300800030050A1B2C3D4E5F6A7B8C9D0</t>
        </is>
      </c>
      <c r="J68" s="2" t="n">
        <v>0</v>
      </c>
      <c r="K68" s="2" t="inlineStr"/>
      <c r="L68" s="2" t="n">
        <v>0</v>
      </c>
      <c r="M68" s="2" t="inlineStr">
        <is>
          <t>Metal direto</t>
        </is>
      </c>
      <c r="N68" s="2" t="inlineStr">
        <is>
          <t>Amostra bruta  - degradacao</t>
        </is>
      </c>
    </row>
    <row r="69" ht="30" customHeight="1">
      <c r="A69" s="2" t="inlineStr">
        <is>
          <t>material_metal_direto</t>
        </is>
      </c>
      <c r="B69" s="2" t="n">
        <v>1</v>
      </c>
      <c r="C69" s="2" t="n">
        <v>8</v>
      </c>
      <c r="D69" s="2" t="inlineStr">
        <is>
          <t>2026-07-07 14:04:16</t>
        </is>
      </c>
      <c r="E69" s="2" t="n">
        <v>150</v>
      </c>
      <c r="F69" s="2" t="n">
        <v>80</v>
      </c>
      <c r="G69" s="7" t="n">
        <v>2</v>
      </c>
      <c r="H69" s="2" t="inlineStr">
        <is>
          <t>TAG080</t>
        </is>
      </c>
      <c r="I69" s="2" t="inlineStr">
        <is>
          <t>300800030050A1B2C3D4E5F6A7B8C9D0</t>
        </is>
      </c>
      <c r="J69" s="2" t="n">
        <v>0</v>
      </c>
      <c r="K69" s="2" t="inlineStr"/>
      <c r="L69" s="2" t="n">
        <v>0</v>
      </c>
      <c r="M69" s="2" t="inlineStr">
        <is>
          <t>Metal direto</t>
        </is>
      </c>
      <c r="N69" s="2" t="inlineStr">
        <is>
          <t>Amostra bruta  - degradacao</t>
        </is>
      </c>
    </row>
    <row r="70" ht="30" customHeight="1">
      <c r="A70" s="2" t="inlineStr">
        <is>
          <t>material_metal_direto</t>
        </is>
      </c>
      <c r="B70" s="2" t="n">
        <v>1</v>
      </c>
      <c r="C70" s="2" t="n">
        <v>9</v>
      </c>
      <c r="D70" s="2" t="inlineStr">
        <is>
          <t>2026-07-07 14:04:18</t>
        </is>
      </c>
      <c r="E70" s="2" t="n">
        <v>150</v>
      </c>
      <c r="F70" s="2" t="n">
        <v>80</v>
      </c>
      <c r="G70" s="7" t="n">
        <v>2</v>
      </c>
      <c r="H70" s="2" t="inlineStr">
        <is>
          <t>TAG080</t>
        </is>
      </c>
      <c r="I70" s="2" t="inlineStr">
        <is>
          <t>300800030050A1B2C3D4E5F6A7B8C9D0</t>
        </is>
      </c>
      <c r="J70" s="2" t="n">
        <v>0</v>
      </c>
      <c r="K70" s="2" t="inlineStr"/>
      <c r="L70" s="2" t="n">
        <v>0</v>
      </c>
      <c r="M70" s="2" t="inlineStr">
        <is>
          <t>Metal direto</t>
        </is>
      </c>
      <c r="N70" s="2" t="inlineStr">
        <is>
          <t>Amostra bruta  - degradacao</t>
        </is>
      </c>
    </row>
    <row r="71" ht="30" customHeight="1">
      <c r="A71" s="2" t="inlineStr">
        <is>
          <t>material_metal_direto</t>
        </is>
      </c>
      <c r="B71" s="2" t="n">
        <v>1</v>
      </c>
      <c r="C71" s="2" t="n">
        <v>10</v>
      </c>
      <c r="D71" s="2" t="inlineStr">
        <is>
          <t>2026-07-07 14:04:20</t>
        </is>
      </c>
      <c r="E71" s="2" t="n">
        <v>150</v>
      </c>
      <c r="F71" s="2" t="n">
        <v>80</v>
      </c>
      <c r="G71" s="7" t="n">
        <v>2</v>
      </c>
      <c r="H71" s="2" t="inlineStr">
        <is>
          <t>TAG080</t>
        </is>
      </c>
      <c r="I71" s="2" t="inlineStr">
        <is>
          <t>300800030050A1B2C3D4E5F6A7B8C9D0</t>
        </is>
      </c>
      <c r="J71" s="2" t="n">
        <v>0</v>
      </c>
      <c r="K71" s="2" t="inlineStr"/>
      <c r="L71" s="2" t="n">
        <v>0</v>
      </c>
      <c r="M71" s="2" t="inlineStr">
        <is>
          <t>Metal direto</t>
        </is>
      </c>
      <c r="N71" s="2" t="inlineStr">
        <is>
          <t>Amostra bruta  - degradacao</t>
        </is>
      </c>
    </row>
    <row r="72" ht="30" customHeight="1">
      <c r="A72" s="2" t="inlineStr">
        <is>
          <t>material_metal_direto</t>
        </is>
      </c>
      <c r="B72" s="2" t="n">
        <v>1</v>
      </c>
      <c r="C72" s="2" t="n">
        <v>11</v>
      </c>
      <c r="D72" s="2" t="inlineStr">
        <is>
          <t>2026-07-07 14:04:22</t>
        </is>
      </c>
      <c r="E72" s="2" t="n">
        <v>150</v>
      </c>
      <c r="F72" s="2" t="n">
        <v>80</v>
      </c>
      <c r="G72" s="7" t="n">
        <v>2</v>
      </c>
      <c r="H72" s="2" t="inlineStr">
        <is>
          <t>TAG080</t>
        </is>
      </c>
      <c r="I72" s="2" t="inlineStr">
        <is>
          <t>300800030050A1B2C3D4E5F6A7B8C9D0</t>
        </is>
      </c>
      <c r="J72" s="2" t="n">
        <v>0</v>
      </c>
      <c r="K72" s="2" t="inlineStr"/>
      <c r="L72" s="2" t="n">
        <v>0</v>
      </c>
      <c r="M72" s="2" t="inlineStr">
        <is>
          <t>Metal direto</t>
        </is>
      </c>
      <c r="N72" s="2" t="inlineStr">
        <is>
          <t>Amostra bruta  - degradacao</t>
        </is>
      </c>
    </row>
    <row r="73" ht="30" customHeight="1">
      <c r="A73" s="2" t="inlineStr">
        <is>
          <t>material_metal_direto</t>
        </is>
      </c>
      <c r="B73" s="2" t="n">
        <v>1</v>
      </c>
      <c r="C73" s="2" t="n">
        <v>12</v>
      </c>
      <c r="D73" s="2" t="inlineStr">
        <is>
          <t>2026-07-07 14:04:24</t>
        </is>
      </c>
      <c r="E73" s="2" t="n">
        <v>150</v>
      </c>
      <c r="F73" s="2" t="n">
        <v>80</v>
      </c>
      <c r="G73" s="7" t="n">
        <v>2</v>
      </c>
      <c r="H73" s="2" t="inlineStr">
        <is>
          <t>TAG080</t>
        </is>
      </c>
      <c r="I73" s="2" t="inlineStr">
        <is>
          <t>300800030050A1B2C3D4E5F6A7B8C9D0</t>
        </is>
      </c>
      <c r="J73" s="2" t="n">
        <v>0</v>
      </c>
      <c r="K73" s="2" t="inlineStr"/>
      <c r="L73" s="2" t="n">
        <v>0</v>
      </c>
      <c r="M73" s="2" t="inlineStr">
        <is>
          <t>Metal direto</t>
        </is>
      </c>
      <c r="N73" s="2" t="inlineStr">
        <is>
          <t>Amostra bruta  - degradacao</t>
        </is>
      </c>
    </row>
    <row r="74" ht="30" customHeight="1">
      <c r="A74" s="2" t="inlineStr">
        <is>
          <t>material_metal_direto</t>
        </is>
      </c>
      <c r="B74" s="2" t="n">
        <v>1</v>
      </c>
      <c r="C74" s="2" t="n">
        <v>13</v>
      </c>
      <c r="D74" s="2" t="inlineStr">
        <is>
          <t>2026-07-07 14:04:26</t>
        </is>
      </c>
      <c r="E74" s="2" t="n">
        <v>150</v>
      </c>
      <c r="F74" s="2" t="n">
        <v>80</v>
      </c>
      <c r="G74" s="7" t="n">
        <v>2</v>
      </c>
      <c r="H74" s="2" t="inlineStr">
        <is>
          <t>TAG080</t>
        </is>
      </c>
      <c r="I74" s="2" t="inlineStr">
        <is>
          <t>300800030050A1B2C3D4E5F6A7B8C9D0</t>
        </is>
      </c>
      <c r="J74" s="2" t="n">
        <v>0</v>
      </c>
      <c r="K74" s="2" t="inlineStr"/>
      <c r="L74" s="2" t="n">
        <v>0</v>
      </c>
      <c r="M74" s="2" t="inlineStr">
        <is>
          <t>Metal direto</t>
        </is>
      </c>
      <c r="N74" s="2" t="inlineStr">
        <is>
          <t>Amostra bruta  - degradacao</t>
        </is>
      </c>
    </row>
    <row r="75" ht="30" customHeight="1">
      <c r="A75" s="2" t="inlineStr">
        <is>
          <t>material_metal_direto</t>
        </is>
      </c>
      <c r="B75" s="2" t="n">
        <v>1</v>
      </c>
      <c r="C75" s="2" t="n">
        <v>14</v>
      </c>
      <c r="D75" s="2" t="inlineStr">
        <is>
          <t>2026-07-07 14:04:28</t>
        </is>
      </c>
      <c r="E75" s="2" t="n">
        <v>150</v>
      </c>
      <c r="F75" s="2" t="n">
        <v>80</v>
      </c>
      <c r="G75" s="7" t="n">
        <v>2</v>
      </c>
      <c r="H75" s="2" t="inlineStr">
        <is>
          <t>TAG080</t>
        </is>
      </c>
      <c r="I75" s="2" t="inlineStr">
        <is>
          <t>300800030050A1B2C3D4E5F6A7B8C9D0</t>
        </is>
      </c>
      <c r="J75" s="2" t="n">
        <v>0</v>
      </c>
      <c r="K75" s="2" t="inlineStr"/>
      <c r="L75" s="2" t="n">
        <v>0</v>
      </c>
      <c r="M75" s="2" t="inlineStr">
        <is>
          <t>Metal direto</t>
        </is>
      </c>
      <c r="N75" s="2" t="inlineStr">
        <is>
          <t>Amostra bruta  - degradacao</t>
        </is>
      </c>
    </row>
    <row r="76" ht="30" customHeight="1">
      <c r="A76" s="2" t="inlineStr">
        <is>
          <t>material_metal_direto</t>
        </is>
      </c>
      <c r="B76" s="2" t="n">
        <v>1</v>
      </c>
      <c r="C76" s="2" t="n">
        <v>15</v>
      </c>
      <c r="D76" s="2" t="inlineStr">
        <is>
          <t>2026-07-07 14:04:30</t>
        </is>
      </c>
      <c r="E76" s="2" t="n">
        <v>150</v>
      </c>
      <c r="F76" s="2" t="n">
        <v>80</v>
      </c>
      <c r="G76" s="7" t="n">
        <v>2</v>
      </c>
      <c r="H76" s="2" t="inlineStr">
        <is>
          <t>TAG080</t>
        </is>
      </c>
      <c r="I76" s="2" t="inlineStr">
        <is>
          <t>300800030050A1B2C3D4E5F6A7B8C9D0</t>
        </is>
      </c>
      <c r="J76" s="2" t="n">
        <v>0</v>
      </c>
      <c r="K76" s="2" t="inlineStr"/>
      <c r="L76" s="2" t="n">
        <v>0</v>
      </c>
      <c r="M76" s="2" t="inlineStr">
        <is>
          <t>Metal direto</t>
        </is>
      </c>
      <c r="N76" s="2" t="inlineStr">
        <is>
          <t>Amostra bruta  - degradacao</t>
        </is>
      </c>
    </row>
    <row r="77" ht="30" customHeight="1">
      <c r="A77" s="2" t="inlineStr">
        <is>
          <t>material_metal_direto</t>
        </is>
      </c>
      <c r="B77" s="2" t="n">
        <v>1</v>
      </c>
      <c r="C77" s="2" t="n">
        <v>16</v>
      </c>
      <c r="D77" s="2" t="inlineStr">
        <is>
          <t>2026-07-07 14:04:32</t>
        </is>
      </c>
      <c r="E77" s="2" t="n">
        <v>150</v>
      </c>
      <c r="F77" s="2" t="n">
        <v>80</v>
      </c>
      <c r="G77" s="7" t="n">
        <v>2</v>
      </c>
      <c r="H77" s="2" t="inlineStr">
        <is>
          <t>TAG080</t>
        </is>
      </c>
      <c r="I77" s="2" t="inlineStr">
        <is>
          <t>300800030050A1B2C3D4E5F6A7B8C9D0</t>
        </is>
      </c>
      <c r="J77" s="2" t="n">
        <v>0</v>
      </c>
      <c r="K77" s="2" t="inlineStr"/>
      <c r="L77" s="2" t="n">
        <v>0</v>
      </c>
      <c r="M77" s="2" t="inlineStr">
        <is>
          <t>Metal direto</t>
        </is>
      </c>
      <c r="N77" s="2" t="inlineStr">
        <is>
          <t>Amostra bruta  - degradacao</t>
        </is>
      </c>
    </row>
    <row r="78" ht="30" customHeight="1">
      <c r="A78" s="2" t="inlineStr">
        <is>
          <t>material_metal_direto</t>
        </is>
      </c>
      <c r="B78" s="2" t="n">
        <v>1</v>
      </c>
      <c r="C78" s="2" t="n">
        <v>17</v>
      </c>
      <c r="D78" s="2" t="inlineStr">
        <is>
          <t>2026-07-07 14:04:34</t>
        </is>
      </c>
      <c r="E78" s="2" t="n">
        <v>150</v>
      </c>
      <c r="F78" s="2" t="n">
        <v>80</v>
      </c>
      <c r="G78" s="7" t="n">
        <v>2</v>
      </c>
      <c r="H78" s="2" t="inlineStr">
        <is>
          <t>TAG080</t>
        </is>
      </c>
      <c r="I78" s="2" t="inlineStr">
        <is>
          <t>300800030050A1B2C3D4E5F6A7B8C9D0</t>
        </is>
      </c>
      <c r="J78" s="2" t="n">
        <v>0</v>
      </c>
      <c r="K78" s="2" t="inlineStr"/>
      <c r="L78" s="2" t="n">
        <v>0</v>
      </c>
      <c r="M78" s="2" t="inlineStr">
        <is>
          <t>Metal direto</t>
        </is>
      </c>
      <c r="N78" s="2" t="inlineStr">
        <is>
          <t>Amostra bruta  - degradacao</t>
        </is>
      </c>
    </row>
    <row r="79" ht="30" customHeight="1">
      <c r="A79" s="2" t="inlineStr">
        <is>
          <t>material_metal_direto</t>
        </is>
      </c>
      <c r="B79" s="2" t="n">
        <v>1</v>
      </c>
      <c r="C79" s="2" t="n">
        <v>18</v>
      </c>
      <c r="D79" s="2" t="inlineStr">
        <is>
          <t>2026-07-07 14:04:36</t>
        </is>
      </c>
      <c r="E79" s="2" t="n">
        <v>150</v>
      </c>
      <c r="F79" s="2" t="n">
        <v>80</v>
      </c>
      <c r="G79" s="7" t="n">
        <v>2</v>
      </c>
      <c r="H79" s="2" t="inlineStr">
        <is>
          <t>TAG080</t>
        </is>
      </c>
      <c r="I79" s="2" t="inlineStr">
        <is>
          <t>300800030050A1B2C3D4E5F6A7B8C9D0</t>
        </is>
      </c>
      <c r="J79" s="2" t="n">
        <v>0</v>
      </c>
      <c r="K79" s="2" t="inlineStr"/>
      <c r="L79" s="2" t="n">
        <v>0</v>
      </c>
      <c r="M79" s="2" t="inlineStr">
        <is>
          <t>Metal direto</t>
        </is>
      </c>
      <c r="N79" s="2" t="inlineStr">
        <is>
          <t>Amostra bruta  - degradacao</t>
        </is>
      </c>
    </row>
    <row r="80" ht="30" customHeight="1">
      <c r="A80" s="2" t="inlineStr">
        <is>
          <t>material_metal_direto</t>
        </is>
      </c>
      <c r="B80" s="2" t="n">
        <v>1</v>
      </c>
      <c r="C80" s="2" t="n">
        <v>19</v>
      </c>
      <c r="D80" s="2" t="inlineStr">
        <is>
          <t>2026-07-07 14:04:38</t>
        </is>
      </c>
      <c r="E80" s="2" t="n">
        <v>150</v>
      </c>
      <c r="F80" s="2" t="n">
        <v>80</v>
      </c>
      <c r="G80" s="7" t="n">
        <v>2</v>
      </c>
      <c r="H80" s="2" t="inlineStr">
        <is>
          <t>TAG080</t>
        </is>
      </c>
      <c r="I80" s="2" t="inlineStr">
        <is>
          <t>300800030050A1B2C3D4E5F6A7B8C9D0</t>
        </is>
      </c>
      <c r="J80" s="2" t="n">
        <v>0</v>
      </c>
      <c r="K80" s="2" t="inlineStr"/>
      <c r="L80" s="2" t="n">
        <v>0</v>
      </c>
      <c r="M80" s="2" t="inlineStr">
        <is>
          <t>Metal direto</t>
        </is>
      </c>
      <c r="N80" s="2" t="inlineStr">
        <is>
          <t>Amostra bruta  - degradacao</t>
        </is>
      </c>
    </row>
    <row r="81" ht="30" customHeight="1">
      <c r="A81" s="2" t="inlineStr">
        <is>
          <t>material_metal_direto</t>
        </is>
      </c>
      <c r="B81" s="2" t="n">
        <v>1</v>
      </c>
      <c r="C81" s="2" t="n">
        <v>20</v>
      </c>
      <c r="D81" s="2" t="inlineStr">
        <is>
          <t>2026-07-07 14:04:40</t>
        </is>
      </c>
      <c r="E81" s="2" t="n">
        <v>150</v>
      </c>
      <c r="F81" s="2" t="n">
        <v>80</v>
      </c>
      <c r="G81" s="7" t="n">
        <v>2</v>
      </c>
      <c r="H81" s="2" t="inlineStr">
        <is>
          <t>TAG080</t>
        </is>
      </c>
      <c r="I81" s="2" t="inlineStr">
        <is>
          <t>300800030050A1B2C3D4E5F6A7B8C9D0</t>
        </is>
      </c>
      <c r="J81" s="2" t="n">
        <v>0</v>
      </c>
      <c r="K81" s="2" t="inlineStr"/>
      <c r="L81" s="2" t="n">
        <v>0</v>
      </c>
      <c r="M81" s="2" t="inlineStr">
        <is>
          <t>Metal direto</t>
        </is>
      </c>
      <c r="N81" s="2" t="inlineStr">
        <is>
          <t>Amostra bruta  - degradacao</t>
        </is>
      </c>
    </row>
    <row r="82" ht="30" customHeight="1">
      <c r="A82" s="2" t="inlineStr">
        <is>
          <t>inventario_sala_10s</t>
        </is>
      </c>
      <c r="B82" s="2" t="n">
        <v>1</v>
      </c>
      <c r="C82" s="2" t="n">
        <v>1</v>
      </c>
      <c r="D82" s="2" t="inlineStr">
        <is>
          <t>2026-07-07 14:06:01</t>
        </is>
      </c>
      <c r="E82" s="2" t="n">
        <v>150</v>
      </c>
      <c r="F82" s="2" t="n">
        <v>110</v>
      </c>
      <c r="G82" s="7" t="n">
        <v>2</v>
      </c>
      <c r="H82" s="2" t="inlineStr">
        <is>
          <t>TAG110</t>
        </is>
      </c>
      <c r="I82" s="2" t="inlineStr">
        <is>
          <t>30080006006EA1B2C3D4E5F6A7B8C9D0</t>
        </is>
      </c>
      <c r="J82" s="2" t="n">
        <v>1</v>
      </c>
      <c r="K82" s="7" t="n">
        <v>-67.59999999999999</v>
      </c>
      <c r="L82" s="2" t="n">
        <v>0</v>
      </c>
      <c r="M82" s="2" t="inlineStr">
        <is>
          <t>Madeira</t>
        </is>
      </c>
      <c r="N82" s="2" t="inlineStr">
        <is>
          <t>Amostra bruta  de janela de inventario</t>
        </is>
      </c>
    </row>
    <row r="83" ht="30" customHeight="1">
      <c r="A83" s="2" t="inlineStr">
        <is>
          <t>inventario_sala_10s</t>
        </is>
      </c>
      <c r="B83" s="2" t="n">
        <v>1</v>
      </c>
      <c r="C83" s="2" t="n">
        <v>2</v>
      </c>
      <c r="D83" s="2" t="inlineStr">
        <is>
          <t>2026-07-07 14:06:02</t>
        </is>
      </c>
      <c r="E83" s="2" t="n">
        <v>150</v>
      </c>
      <c r="F83" s="2" t="n">
        <v>120</v>
      </c>
      <c r="G83" s="7" t="n">
        <v>2</v>
      </c>
      <c r="H83" s="2" t="inlineStr">
        <is>
          <t>TAG120</t>
        </is>
      </c>
      <c r="I83" s="2" t="inlineStr">
        <is>
          <t>300800070078A1B2C3D4E5F6A7B8C9D0</t>
        </is>
      </c>
      <c r="J83" s="2" t="n">
        <v>1</v>
      </c>
      <c r="K83" s="7" t="n">
        <v>-66</v>
      </c>
      <c r="L83" s="2" t="n">
        <v>0</v>
      </c>
      <c r="M83" s="2" t="inlineStr">
        <is>
          <t>Plastico</t>
        </is>
      </c>
      <c r="N83" s="2" t="inlineStr">
        <is>
          <t>Amostra bruta  de janela de inventario</t>
        </is>
      </c>
    </row>
    <row r="84" ht="30" customHeight="1">
      <c r="A84" s="2" t="inlineStr">
        <is>
          <t>inventario_sala_10s</t>
        </is>
      </c>
      <c r="B84" s="2" t="n">
        <v>1</v>
      </c>
      <c r="C84" s="2" t="n">
        <v>3</v>
      </c>
      <c r="D84" s="2" t="inlineStr">
        <is>
          <t>2026-07-07 14:06:03</t>
        </is>
      </c>
      <c r="E84" s="2" t="n">
        <v>150</v>
      </c>
      <c r="F84" s="2" t="n">
        <v>130</v>
      </c>
      <c r="G84" s="7" t="n">
        <v>2</v>
      </c>
      <c r="H84" s="2" t="inlineStr">
        <is>
          <t>TAG130</t>
        </is>
      </c>
      <c r="I84" s="2" t="inlineStr">
        <is>
          <t>300800080082A1B2C3D4E5F6A7B8C9D0</t>
        </is>
      </c>
      <c r="J84" s="2" t="n">
        <v>1</v>
      </c>
      <c r="K84" s="7" t="n">
        <v>-64.8</v>
      </c>
      <c r="L84" s="2" t="n">
        <v>0</v>
      </c>
      <c r="M84" s="2" t="inlineStr">
        <is>
          <t>Plastico</t>
        </is>
      </c>
      <c r="N84" s="2" t="inlineStr">
        <is>
          <t>Amostra bruta  de janela de inventario</t>
        </is>
      </c>
    </row>
    <row r="85" ht="30" customHeight="1">
      <c r="A85" s="2" t="inlineStr">
        <is>
          <t>inventario_sala_10s</t>
        </is>
      </c>
      <c r="B85" s="2" t="n">
        <v>1</v>
      </c>
      <c r="C85" s="2" t="n">
        <v>4</v>
      </c>
      <c r="D85" s="2" t="inlineStr">
        <is>
          <t>2026-07-07 14:06:04</t>
        </is>
      </c>
      <c r="E85" s="2" t="n">
        <v>150</v>
      </c>
      <c r="F85" s="2" t="n">
        <v>140</v>
      </c>
      <c r="G85" s="7" t="n">
        <v>2</v>
      </c>
      <c r="H85" s="2" t="inlineStr">
        <is>
          <t>TAG140</t>
        </is>
      </c>
      <c r="I85" s="2" t="inlineStr">
        <is>
          <t>30080009008CA1B2C3D4E5F6A7B8C9D0</t>
        </is>
      </c>
      <c r="J85" s="2" t="n">
        <v>1</v>
      </c>
      <c r="K85" s="7" t="n">
        <v>-64</v>
      </c>
      <c r="L85" s="2" t="n">
        <v>0</v>
      </c>
      <c r="M85" s="2" t="inlineStr">
        <is>
          <t>Plastico</t>
        </is>
      </c>
      <c r="N85" s="2" t="inlineStr">
        <is>
          <t>Amostra bruta  de janela de inventario</t>
        </is>
      </c>
    </row>
    <row r="86" ht="30" customHeight="1">
      <c r="A86" s="2" t="inlineStr">
        <is>
          <t>inventario_sala_10s</t>
        </is>
      </c>
      <c r="B86" s="2" t="n">
        <v>1</v>
      </c>
      <c r="C86" s="2" t="n">
        <v>5</v>
      </c>
      <c r="D86" s="2" t="inlineStr">
        <is>
          <t>2026-07-07 14:06:05</t>
        </is>
      </c>
      <c r="E86" s="2" t="n">
        <v>150</v>
      </c>
      <c r="F86" s="2" t="n">
        <v>150</v>
      </c>
      <c r="G86" s="7" t="n">
        <v>2</v>
      </c>
      <c r="H86" s="2" t="inlineStr">
        <is>
          <t>TAG150</t>
        </is>
      </c>
      <c r="I86" s="2" t="inlineStr">
        <is>
          <t>3008000A0096A1B2C3D4E5F6A7B8C9D0</t>
        </is>
      </c>
      <c r="J86" s="2" t="n">
        <v>1</v>
      </c>
      <c r="K86" s="7" t="n">
        <v>-65.40000000000001</v>
      </c>
      <c r="L86" s="2" t="n">
        <v>0</v>
      </c>
      <c r="M86" s="2" t="inlineStr">
        <is>
          <t>Madeira</t>
        </is>
      </c>
      <c r="N86" s="2" t="inlineStr">
        <is>
          <t>Amostra bruta  de janela de inventario</t>
        </is>
      </c>
    </row>
    <row r="87" ht="30" customHeight="1">
      <c r="A87" s="2" t="inlineStr">
        <is>
          <t>inventario_sala_10s</t>
        </is>
      </c>
      <c r="B87" s="2" t="n">
        <v>1</v>
      </c>
      <c r="C87" s="2" t="n">
        <v>6</v>
      </c>
      <c r="D87" s="2" t="inlineStr">
        <is>
          <t>2026-07-07 14:06:06</t>
        </is>
      </c>
      <c r="E87" s="2" t="n">
        <v>150</v>
      </c>
      <c r="F87" s="2" t="n">
        <v>160</v>
      </c>
      <c r="G87" s="7" t="n">
        <v>2</v>
      </c>
      <c r="H87" s="2" t="inlineStr">
        <is>
          <t>TAG160</t>
        </is>
      </c>
      <c r="I87" s="2" t="inlineStr">
        <is>
          <t>3008000B00A0A1B2C3D4E5F6A7B8C9D0</t>
        </is>
      </c>
      <c r="J87" s="2" t="n">
        <v>1</v>
      </c>
      <c r="K87" s="7" t="n">
        <v>-64.2</v>
      </c>
      <c r="L87" s="2" t="n">
        <v>0</v>
      </c>
      <c r="M87" s="2" t="inlineStr">
        <is>
          <t>Madeira</t>
        </is>
      </c>
      <c r="N87" s="2" t="inlineStr">
        <is>
          <t>Amostra bruta  de janela de inventario</t>
        </is>
      </c>
    </row>
    <row r="88" ht="30" customHeight="1">
      <c r="A88" s="2" t="inlineStr">
        <is>
          <t>inventario_sala_10s</t>
        </is>
      </c>
      <c r="B88" s="2" t="n">
        <v>1</v>
      </c>
      <c r="C88" s="2" t="n">
        <v>7</v>
      </c>
      <c r="D88" s="2" t="inlineStr">
        <is>
          <t>2026-07-07 14:06:07</t>
        </is>
      </c>
      <c r="E88" s="2" t="n">
        <v>150</v>
      </c>
      <c r="F88" s="2" t="n">
        <v>170</v>
      </c>
      <c r="G88" s="7" t="n">
        <v>2</v>
      </c>
      <c r="H88" s="2" t="inlineStr">
        <is>
          <t>TAG170</t>
        </is>
      </c>
      <c r="I88" s="2" t="inlineStr">
        <is>
          <t>3008000C00AAA1B2C3D4E5F6A7B8C9D0</t>
        </is>
      </c>
      <c r="J88" s="2" t="n">
        <v>0</v>
      </c>
      <c r="K88" s="2" t="inlineStr"/>
      <c r="L88" s="2" t="n">
        <v>0</v>
      </c>
      <c r="M88" s="2" t="inlineStr">
        <is>
          <t>Metal com espacador</t>
        </is>
      </c>
      <c r="N88" s="2" t="inlineStr">
        <is>
          <t>Amostra bruta  de janela de inventario</t>
        </is>
      </c>
    </row>
    <row r="89" ht="30" customHeight="1">
      <c r="A89" s="2" t="inlineStr">
        <is>
          <t>inventario_sala_10s</t>
        </is>
      </c>
      <c r="B89" s="2" t="n">
        <v>1</v>
      </c>
      <c r="C89" s="2" t="n">
        <v>8</v>
      </c>
      <c r="D89" s="2" t="inlineStr">
        <is>
          <t>2026-07-07 14:06:08</t>
        </is>
      </c>
      <c r="E89" s="2" t="n">
        <v>150</v>
      </c>
      <c r="F89" s="2" t="n">
        <v>180</v>
      </c>
      <c r="G89" s="7" t="n">
        <v>2</v>
      </c>
      <c r="H89" s="2" t="inlineStr">
        <is>
          <t>TAG180</t>
        </is>
      </c>
      <c r="I89" s="2" t="inlineStr">
        <is>
          <t>3008000D00B4A1B2C3D4E5F6A7B8C9D0</t>
        </is>
      </c>
      <c r="J89" s="2" t="n">
        <v>1</v>
      </c>
      <c r="K89" s="7" t="n">
        <v>-66.8</v>
      </c>
      <c r="L89" s="2" t="n">
        <v>0</v>
      </c>
      <c r="M89" s="2" t="inlineStr">
        <is>
          <t>Madeira</t>
        </is>
      </c>
      <c r="N89" s="2" t="inlineStr">
        <is>
          <t>Amostra bruta  de janela de inventario</t>
        </is>
      </c>
    </row>
    <row r="90" ht="30" customHeight="1">
      <c r="A90" s="2" t="inlineStr">
        <is>
          <t>inventario_sala_10s</t>
        </is>
      </c>
      <c r="B90" s="2" t="n">
        <v>1</v>
      </c>
      <c r="C90" s="2" t="n">
        <v>9</v>
      </c>
      <c r="D90" s="2" t="inlineStr">
        <is>
          <t>2026-07-07 14:06:09</t>
        </is>
      </c>
      <c r="E90" s="2" t="n">
        <v>150</v>
      </c>
      <c r="F90" s="2" t="n">
        <v>190</v>
      </c>
      <c r="G90" s="7" t="n">
        <v>2</v>
      </c>
      <c r="H90" s="2" t="inlineStr">
        <is>
          <t>TAG190</t>
        </is>
      </c>
      <c r="I90" s="2" t="inlineStr">
        <is>
          <t>3008000E00BEA1B2C3D4E5F6A7B8C9D0</t>
        </is>
      </c>
      <c r="J90" s="2" t="n">
        <v>1</v>
      </c>
      <c r="K90" s="7" t="n">
        <v>-66.2</v>
      </c>
      <c r="L90" s="2" t="n">
        <v>0</v>
      </c>
      <c r="M90" s="2" t="inlineStr">
        <is>
          <t>Plastico</t>
        </is>
      </c>
      <c r="N90" s="2" t="inlineStr">
        <is>
          <t>Amostra bruta  de janela de inventario</t>
        </is>
      </c>
    </row>
    <row r="91" ht="30" customHeight="1">
      <c r="A91" s="2" t="inlineStr">
        <is>
          <t>inventario_sala_10s</t>
        </is>
      </c>
      <c r="B91" s="2" t="n">
        <v>1</v>
      </c>
      <c r="C91" s="2" t="n">
        <v>10</v>
      </c>
      <c r="D91" s="2" t="inlineStr">
        <is>
          <t>2026-07-07 14:06:10</t>
        </is>
      </c>
      <c r="E91" s="2" t="n">
        <v>150</v>
      </c>
      <c r="F91" s="2" t="n">
        <v>200</v>
      </c>
      <c r="G91" s="7" t="n">
        <v>2</v>
      </c>
      <c r="H91" s="2" t="inlineStr">
        <is>
          <t>TAG200</t>
        </is>
      </c>
      <c r="I91" s="2" t="inlineStr">
        <is>
          <t>3008000F00C8A1B2C3D4E5F6A7B8C9D0</t>
        </is>
      </c>
      <c r="J91" s="2" t="n">
        <v>1</v>
      </c>
      <c r="K91" s="7" t="n">
        <v>-70</v>
      </c>
      <c r="L91" s="2" t="n">
        <v>0</v>
      </c>
      <c r="M91" s="2" t="inlineStr">
        <is>
          <t>Metal com espacador</t>
        </is>
      </c>
      <c r="N91" s="2" t="inlineStr">
        <is>
          <t>Amostra bruta  de janela de inventario</t>
        </is>
      </c>
    </row>
    <row r="92" ht="30" customHeight="1">
      <c r="A92" s="2" t="inlineStr">
        <is>
          <t>inventario_sala_10s</t>
        </is>
      </c>
      <c r="B92" s="2" t="n">
        <v>1</v>
      </c>
      <c r="C92" s="2" t="n">
        <v>11</v>
      </c>
      <c r="D92" s="2" t="inlineStr">
        <is>
          <t>2026-07-07 14:06:11</t>
        </is>
      </c>
      <c r="E92" s="2" t="n">
        <v>150</v>
      </c>
      <c r="F92" s="2" t="n">
        <v>110</v>
      </c>
      <c r="G92" s="7" t="n">
        <v>2</v>
      </c>
      <c r="H92" s="2" t="inlineStr">
        <is>
          <t>TAG110</t>
        </is>
      </c>
      <c r="I92" s="2" t="inlineStr">
        <is>
          <t>30080006006EA1B2C3D4E5F6A7B8C9D0</t>
        </is>
      </c>
      <c r="J92" s="2" t="n">
        <v>1</v>
      </c>
      <c r="K92" s="7" t="n">
        <v>-67.59999999999999</v>
      </c>
      <c r="L92" s="2" t="n">
        <v>0</v>
      </c>
      <c r="M92" s="2" t="inlineStr">
        <is>
          <t>Madeira</t>
        </is>
      </c>
      <c r="N92" s="2" t="inlineStr">
        <is>
          <t>Amostra bruta  de janela de inventario</t>
        </is>
      </c>
    </row>
    <row r="93" ht="30" customHeight="1">
      <c r="A93" s="2" t="inlineStr">
        <is>
          <t>inventario_sala_10s</t>
        </is>
      </c>
      <c r="B93" s="2" t="n">
        <v>1</v>
      </c>
      <c r="C93" s="2" t="n">
        <v>12</v>
      </c>
      <c r="D93" s="2" t="inlineStr">
        <is>
          <t>2026-07-07 14:06:12</t>
        </is>
      </c>
      <c r="E93" s="2" t="n">
        <v>150</v>
      </c>
      <c r="F93" s="2" t="n">
        <v>120</v>
      </c>
      <c r="G93" s="7" t="n">
        <v>2</v>
      </c>
      <c r="H93" s="2" t="inlineStr">
        <is>
          <t>TAG120</t>
        </is>
      </c>
      <c r="I93" s="2" t="inlineStr">
        <is>
          <t>300800070078A1B2C3D4E5F6A7B8C9D0</t>
        </is>
      </c>
      <c r="J93" s="2" t="n">
        <v>1</v>
      </c>
      <c r="K93" s="7" t="n">
        <v>-66</v>
      </c>
      <c r="L93" s="2" t="n">
        <v>0</v>
      </c>
      <c r="M93" s="2" t="inlineStr">
        <is>
          <t>Plastico</t>
        </is>
      </c>
      <c r="N93" s="2" t="inlineStr">
        <is>
          <t>Amostra bruta  de janela de inventario</t>
        </is>
      </c>
    </row>
    <row r="94" ht="30" customHeight="1">
      <c r="A94" s="2" t="inlineStr">
        <is>
          <t>inventario_sala_10s</t>
        </is>
      </c>
      <c r="B94" s="2" t="n">
        <v>1</v>
      </c>
      <c r="C94" s="2" t="n">
        <v>13</v>
      </c>
      <c r="D94" s="2" t="inlineStr">
        <is>
          <t>2026-07-07 14:06:13</t>
        </is>
      </c>
      <c r="E94" s="2" t="n">
        <v>150</v>
      </c>
      <c r="F94" s="2" t="n">
        <v>130</v>
      </c>
      <c r="G94" s="7" t="n">
        <v>2</v>
      </c>
      <c r="H94" s="2" t="inlineStr">
        <is>
          <t>TAG130</t>
        </is>
      </c>
      <c r="I94" s="2" t="inlineStr">
        <is>
          <t>300800080082A1B2C3D4E5F6A7B8C9D0</t>
        </is>
      </c>
      <c r="J94" s="2" t="n">
        <v>1</v>
      </c>
      <c r="K94" s="7" t="n">
        <v>-64.8</v>
      </c>
      <c r="L94" s="2" t="n">
        <v>0</v>
      </c>
      <c r="M94" s="2" t="inlineStr">
        <is>
          <t>Plastico</t>
        </is>
      </c>
      <c r="N94" s="2" t="inlineStr">
        <is>
          <t>Amostra bruta  de janela de inventario</t>
        </is>
      </c>
    </row>
    <row r="95" ht="30" customHeight="1">
      <c r="A95" s="2" t="inlineStr">
        <is>
          <t>inventario_sala_10s</t>
        </is>
      </c>
      <c r="B95" s="2" t="n">
        <v>1</v>
      </c>
      <c r="C95" s="2" t="n">
        <v>14</v>
      </c>
      <c r="D95" s="2" t="inlineStr">
        <is>
          <t>2026-07-07 14:06:14</t>
        </is>
      </c>
      <c r="E95" s="2" t="n">
        <v>150</v>
      </c>
      <c r="F95" s="2" t="n">
        <v>140</v>
      </c>
      <c r="G95" s="7" t="n">
        <v>2</v>
      </c>
      <c r="H95" s="2" t="inlineStr">
        <is>
          <t>TAG140</t>
        </is>
      </c>
      <c r="I95" s="2" t="inlineStr">
        <is>
          <t>30080009008CA1B2C3D4E5F6A7B8C9D0</t>
        </is>
      </c>
      <c r="J95" s="2" t="n">
        <v>1</v>
      </c>
      <c r="K95" s="7" t="n">
        <v>-64</v>
      </c>
      <c r="L95" s="2" t="n">
        <v>0</v>
      </c>
      <c r="M95" s="2" t="inlineStr">
        <is>
          <t>Plastico</t>
        </is>
      </c>
      <c r="N95" s="2" t="inlineStr">
        <is>
          <t>Amostra bruta  de janela de inventario</t>
        </is>
      </c>
    </row>
    <row r="96" ht="30" customHeight="1">
      <c r="A96" s="2" t="inlineStr">
        <is>
          <t>inventario_sala_10s</t>
        </is>
      </c>
      <c r="B96" s="2" t="n">
        <v>1</v>
      </c>
      <c r="C96" s="2" t="n">
        <v>15</v>
      </c>
      <c r="D96" s="2" t="inlineStr">
        <is>
          <t>2026-07-07 14:06:15</t>
        </is>
      </c>
      <c r="E96" s="2" t="n">
        <v>150</v>
      </c>
      <c r="F96" s="2" t="n">
        <v>150</v>
      </c>
      <c r="G96" s="7" t="n">
        <v>2</v>
      </c>
      <c r="H96" s="2" t="inlineStr">
        <is>
          <t>TAG150</t>
        </is>
      </c>
      <c r="I96" s="2" t="inlineStr">
        <is>
          <t>3008000A0096A1B2C3D4E5F6A7B8C9D0</t>
        </is>
      </c>
      <c r="J96" s="2" t="n">
        <v>1</v>
      </c>
      <c r="K96" s="7" t="n">
        <v>-65.40000000000001</v>
      </c>
      <c r="L96" s="2" t="n">
        <v>0</v>
      </c>
      <c r="M96" s="2" t="inlineStr">
        <is>
          <t>Madeira</t>
        </is>
      </c>
      <c r="N96" s="2" t="inlineStr">
        <is>
          <t>Amostra bruta  de janela de inventario</t>
        </is>
      </c>
    </row>
    <row r="97" ht="30" customHeight="1">
      <c r="A97" s="2" t="inlineStr">
        <is>
          <t>inventario_sala_10s</t>
        </is>
      </c>
      <c r="B97" s="2" t="n">
        <v>1</v>
      </c>
      <c r="C97" s="2" t="n">
        <v>16</v>
      </c>
      <c r="D97" s="2" t="inlineStr">
        <is>
          <t>2026-07-07 14:06:16</t>
        </is>
      </c>
      <c r="E97" s="2" t="n">
        <v>150</v>
      </c>
      <c r="F97" s="2" t="n">
        <v>160</v>
      </c>
      <c r="G97" s="7" t="n">
        <v>2</v>
      </c>
      <c r="H97" s="2" t="inlineStr">
        <is>
          <t>TAG160</t>
        </is>
      </c>
      <c r="I97" s="2" t="inlineStr">
        <is>
          <t>3008000B00A0A1B2C3D4E5F6A7B8C9D0</t>
        </is>
      </c>
      <c r="J97" s="2" t="n">
        <v>1</v>
      </c>
      <c r="K97" s="7" t="n">
        <v>-64.2</v>
      </c>
      <c r="L97" s="2" t="n">
        <v>0</v>
      </c>
      <c r="M97" s="2" t="inlineStr">
        <is>
          <t>Madeira</t>
        </is>
      </c>
      <c r="N97" s="2" t="inlineStr">
        <is>
          <t>Amostra bruta  de janela de inventario</t>
        </is>
      </c>
    </row>
    <row r="98" ht="30" customHeight="1">
      <c r="A98" s="2" t="inlineStr">
        <is>
          <t>inventario_sala_10s</t>
        </is>
      </c>
      <c r="B98" s="2" t="n">
        <v>1</v>
      </c>
      <c r="C98" s="2" t="n">
        <v>17</v>
      </c>
      <c r="D98" s="2" t="inlineStr">
        <is>
          <t>2026-07-07 14:06:17</t>
        </is>
      </c>
      <c r="E98" s="2" t="n">
        <v>150</v>
      </c>
      <c r="F98" s="2" t="n">
        <v>170</v>
      </c>
      <c r="G98" s="7" t="n">
        <v>2</v>
      </c>
      <c r="H98" s="2" t="inlineStr">
        <is>
          <t>TAG170</t>
        </is>
      </c>
      <c r="I98" s="2" t="inlineStr">
        <is>
          <t>3008000C00AAA1B2C3D4E5F6A7B8C9D0</t>
        </is>
      </c>
      <c r="J98" s="2" t="n">
        <v>0</v>
      </c>
      <c r="K98" s="2" t="inlineStr"/>
      <c r="L98" s="2" t="n">
        <v>0</v>
      </c>
      <c r="M98" s="2" t="inlineStr">
        <is>
          <t>Metal com espacador</t>
        </is>
      </c>
      <c r="N98" s="2" t="inlineStr">
        <is>
          <t>Amostra bruta  de janela de inventario</t>
        </is>
      </c>
    </row>
    <row r="99" ht="30" customHeight="1">
      <c r="A99" s="2" t="inlineStr">
        <is>
          <t>inventario_sala_10s</t>
        </is>
      </c>
      <c r="B99" s="2" t="n">
        <v>1</v>
      </c>
      <c r="C99" s="2" t="n">
        <v>18</v>
      </c>
      <c r="D99" s="2" t="inlineStr">
        <is>
          <t>2026-07-07 14:06:18</t>
        </is>
      </c>
      <c r="E99" s="2" t="n">
        <v>150</v>
      </c>
      <c r="F99" s="2" t="n">
        <v>180</v>
      </c>
      <c r="G99" s="7" t="n">
        <v>2</v>
      </c>
      <c r="H99" s="2" t="inlineStr">
        <is>
          <t>TAG180</t>
        </is>
      </c>
      <c r="I99" s="2" t="inlineStr">
        <is>
          <t>3008000D00B4A1B2C3D4E5F6A7B8C9D0</t>
        </is>
      </c>
      <c r="J99" s="2" t="n">
        <v>1</v>
      </c>
      <c r="K99" s="7" t="n">
        <v>-66.8</v>
      </c>
      <c r="L99" s="2" t="n">
        <v>0</v>
      </c>
      <c r="M99" s="2" t="inlineStr">
        <is>
          <t>Madeira</t>
        </is>
      </c>
      <c r="N99" s="2" t="inlineStr">
        <is>
          <t>Amostra bruta  de janela de inventario</t>
        </is>
      </c>
    </row>
    <row r="100" ht="30" customHeight="1">
      <c r="A100" s="2" t="inlineStr">
        <is>
          <t>inventario_sala_10s</t>
        </is>
      </c>
      <c r="B100" s="2" t="n">
        <v>1</v>
      </c>
      <c r="C100" s="2" t="n">
        <v>19</v>
      </c>
      <c r="D100" s="2" t="inlineStr">
        <is>
          <t>2026-07-07 14:06:19</t>
        </is>
      </c>
      <c r="E100" s="2" t="n">
        <v>150</v>
      </c>
      <c r="F100" s="2" t="n">
        <v>190</v>
      </c>
      <c r="G100" s="7" t="n">
        <v>2</v>
      </c>
      <c r="H100" s="2" t="inlineStr">
        <is>
          <t>TAG190</t>
        </is>
      </c>
      <c r="I100" s="2" t="inlineStr">
        <is>
          <t>3008000E00BEA1B2C3D4E5F6A7B8C9D0</t>
        </is>
      </c>
      <c r="J100" s="2" t="n">
        <v>1</v>
      </c>
      <c r="K100" s="7" t="n">
        <v>-66.2</v>
      </c>
      <c r="L100" s="2" t="n">
        <v>0</v>
      </c>
      <c r="M100" s="2" t="inlineStr">
        <is>
          <t>Plastico</t>
        </is>
      </c>
      <c r="N100" s="2" t="inlineStr">
        <is>
          <t>Amostra bruta  de janela de inventario</t>
        </is>
      </c>
    </row>
    <row r="101" ht="30" customHeight="1">
      <c r="A101" s="2" t="inlineStr">
        <is>
          <t>inventario_sala_10s</t>
        </is>
      </c>
      <c r="B101" s="2" t="n">
        <v>1</v>
      </c>
      <c r="C101" s="2" t="n">
        <v>20</v>
      </c>
      <c r="D101" s="2" t="inlineStr">
        <is>
          <t>2026-07-07 14:06:20</t>
        </is>
      </c>
      <c r="E101" s="2" t="n">
        <v>150</v>
      </c>
      <c r="F101" s="2" t="n">
        <v>200</v>
      </c>
      <c r="G101" s="7" t="n">
        <v>2</v>
      </c>
      <c r="H101" s="2" t="inlineStr">
        <is>
          <t>TAG200</t>
        </is>
      </c>
      <c r="I101" s="2" t="inlineStr">
        <is>
          <t>3008000F00C8A1B2C3D4E5F6A7B8C9D0</t>
        </is>
      </c>
      <c r="J101" s="2" t="n">
        <v>1</v>
      </c>
      <c r="K101" s="7" t="n">
        <v>-70</v>
      </c>
      <c r="L101" s="2" t="n">
        <v>0</v>
      </c>
      <c r="M101" s="2" t="inlineStr">
        <is>
          <t>Metal com espacador</t>
        </is>
      </c>
      <c r="N101" s="2" t="inlineStr">
        <is>
          <t>Amostra bruta  de janela de inventario</t>
        </is>
      </c>
    </row>
  </sheetData>
  <autoFilter ref="A1:N10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4"/>
  <sheetViews>
    <sheetView showGridLines="0" tabSelected="1" workbookViewId="0">
      <pane ySplit="3" topLeftCell="A4" activePane="bottomLeft" state="frozen"/>
      <selection activeCell="A1" sqref="A1"/>
      <selection pane="bottomLeft" activeCell="L12" sqref="L12"/>
    </sheetView>
  </sheetViews>
  <sheetFormatPr baseColWidth="8" defaultColWidth="9" defaultRowHeight="15"/>
  <cols>
    <col width="34" customWidth="1" min="1" max="1"/>
    <col width="32" customWidth="1" min="2" max="2"/>
    <col width="16" customWidth="1" min="3" max="3"/>
    <col width="20" customWidth="1" min="4" max="4"/>
  </cols>
  <sheetData>
    <row r="1" ht="45" customHeight="1">
      <c r="A1" s="1" t="inlineStr">
        <is>
          <t>AVISO</t>
        </is>
      </c>
      <c r="B1" s="1" t="inlineStr">
        <is>
          <t>Valores apenas para comparacao e planejamento. Nao usar como resultado experimental.</t>
        </is>
      </c>
      <c r="C1" s="1" t="n"/>
    </row>
    <row r="2">
      <c r="A2" s="2" t="n"/>
      <c r="B2" s="2" t="n"/>
      <c r="C2" s="2" t="n"/>
    </row>
    <row r="3" ht="30" customHeight="1">
      <c r="A3" s="3" t="inlineStr">
        <is>
          <t>Alcance com tag alinhada e suporte nao metalico</t>
        </is>
      </c>
      <c r="B3" s="2" t="n"/>
      <c r="C3" s="2" t="n"/>
    </row>
    <row r="4">
      <c r="A4" s="2" t="inlineStr">
        <is>
          <t>distancia_m</t>
        </is>
      </c>
      <c r="B4" s="2" t="inlineStr">
        <is>
          <t>leituras_validas_em_30</t>
        </is>
      </c>
      <c r="C4" s="2" t="inlineStr">
        <is>
          <t>taxa_%</t>
        </is>
      </c>
    </row>
    <row r="5">
      <c r="A5" s="7" t="n">
        <v>0.5</v>
      </c>
      <c r="B5" s="2" t="n">
        <v>30</v>
      </c>
      <c r="C5" s="7" t="n">
        <v>100</v>
      </c>
    </row>
    <row r="6">
      <c r="A6" s="7" t="n">
        <v>1</v>
      </c>
      <c r="B6" s="2" t="n">
        <v>30</v>
      </c>
      <c r="C6" s="7" t="n">
        <v>100</v>
      </c>
    </row>
    <row r="7">
      <c r="A7" s="7" t="n">
        <v>1.5</v>
      </c>
      <c r="B7" s="2" t="n">
        <v>29</v>
      </c>
      <c r="C7" s="7" t="n">
        <v>96.6666666666667</v>
      </c>
    </row>
    <row r="8">
      <c r="A8" s="7" t="n">
        <v>2</v>
      </c>
      <c r="B8" s="2" t="n">
        <v>27</v>
      </c>
      <c r="C8" s="7" t="n">
        <v>90</v>
      </c>
    </row>
    <row r="9">
      <c r="A9" s="7" t="n">
        <v>2.5</v>
      </c>
      <c r="B9" s="2" t="n">
        <v>23</v>
      </c>
      <c r="C9" s="7" t="n">
        <v>76.6666666666667</v>
      </c>
    </row>
    <row r="10">
      <c r="A10" s="7" t="n">
        <v>3</v>
      </c>
      <c r="B10" s="2" t="n">
        <v>17</v>
      </c>
      <c r="C10" s="7" t="n">
        <v>56.6666666666667</v>
      </c>
    </row>
    <row r="11">
      <c r="A11" s="7" t="n">
        <v>3.5</v>
      </c>
      <c r="B11" s="2" t="n">
        <v>8</v>
      </c>
      <c r="C11" s="7" t="n">
        <v>26.6666666666667</v>
      </c>
    </row>
    <row r="12">
      <c r="A12" s="7" t="n">
        <v>4</v>
      </c>
      <c r="B12" s="2" t="n">
        <v>2</v>
      </c>
      <c r="C12" s="7" t="n">
        <v>6.66666666666667</v>
      </c>
    </row>
    <row r="13">
      <c r="A13" s="2" t="n"/>
      <c r="B13" s="2" t="n"/>
      <c r="C13" s="2" t="n"/>
    </row>
    <row r="14">
      <c r="A14" s="3" t="inlineStr">
        <is>
          <t>Orientacao a 2,0 m</t>
        </is>
      </c>
      <c r="B14" s="2" t="n"/>
      <c r="C14" s="2" t="n"/>
    </row>
    <row r="15">
      <c r="A15" s="2" t="inlineStr">
        <is>
          <t>orientacao_graus</t>
        </is>
      </c>
      <c r="B15" s="2" t="inlineStr">
        <is>
          <t>leituras_validas_em_30</t>
        </is>
      </c>
      <c r="C15" s="2" t="inlineStr">
        <is>
          <t>taxa_%</t>
        </is>
      </c>
    </row>
    <row r="16">
      <c r="A16" s="2" t="n">
        <v>0</v>
      </c>
      <c r="B16" s="2" t="n">
        <v>27</v>
      </c>
      <c r="C16" s="7" t="n">
        <v>90</v>
      </c>
    </row>
    <row r="17">
      <c r="A17" s="2" t="n">
        <v>45</v>
      </c>
      <c r="B17" s="2" t="n">
        <v>18</v>
      </c>
      <c r="C17" s="7" t="n">
        <v>60</v>
      </c>
    </row>
    <row r="18">
      <c r="A18" s="2" t="n">
        <v>90</v>
      </c>
      <c r="B18" s="2" t="n">
        <v>5</v>
      </c>
      <c r="C18" s="7" t="n">
        <v>16.6666666666667</v>
      </c>
    </row>
    <row r="19">
      <c r="A19" s="2" t="n"/>
      <c r="B19" s="2" t="n"/>
      <c r="C19" s="2" t="n"/>
    </row>
    <row r="20">
      <c r="A20" s="3" t="inlineStr">
        <is>
          <t>Material a 2,0 m</t>
        </is>
      </c>
      <c r="B20" s="2" t="n"/>
      <c r="C20" s="2" t="n"/>
    </row>
    <row r="21">
      <c r="A21" s="2" t="inlineStr">
        <is>
          <t>material</t>
        </is>
      </c>
      <c r="B21" s="2" t="inlineStr">
        <is>
          <t>leituras_validas_em_30</t>
        </is>
      </c>
      <c r="C21" s="2" t="inlineStr">
        <is>
          <t>taxa_%</t>
        </is>
      </c>
    </row>
    <row r="22">
      <c r="A22" s="2" t="inlineStr">
        <is>
          <t>Papelao</t>
        </is>
      </c>
      <c r="B22" s="2" t="n">
        <v>29</v>
      </c>
      <c r="C22" s="7" t="n">
        <v>96.6666666666667</v>
      </c>
    </row>
    <row r="23">
      <c r="A23" s="2" t="inlineStr">
        <is>
          <t>Madeira</t>
        </is>
      </c>
      <c r="B23" s="2" t="n">
        <v>28</v>
      </c>
      <c r="C23" s="7" t="n">
        <v>93.3333333333333</v>
      </c>
    </row>
    <row r="24">
      <c r="A24" s="2" t="inlineStr">
        <is>
          <t>Plastico</t>
        </is>
      </c>
      <c r="B24" s="2" t="n">
        <v>27</v>
      </c>
      <c r="C24" s="7" t="n">
        <v>90</v>
      </c>
    </row>
    <row r="25">
      <c r="A25" s="2" t="inlineStr">
        <is>
          <t>Vidro</t>
        </is>
      </c>
      <c r="B25" s="2" t="n">
        <v>25</v>
      </c>
      <c r="C25" s="7" t="n">
        <v>83.3333333333333</v>
      </c>
    </row>
    <row r="26">
      <c r="A26" s="2" t="inlineStr">
        <is>
          <t>Metal direto</t>
        </is>
      </c>
      <c r="B26" s="2" t="n">
        <v>3</v>
      </c>
      <c r="C26" s="7" t="n">
        <v>10</v>
      </c>
    </row>
    <row r="27">
      <c r="A27" s="2" t="inlineStr">
        <is>
          <t>Metal com espacador</t>
        </is>
      </c>
      <c r="B27" s="2" t="n">
        <v>12</v>
      </c>
      <c r="C27" s="7" t="n">
        <v>40</v>
      </c>
    </row>
    <row r="28">
      <c r="A28" s="2" t="n"/>
      <c r="B28" s="2" t="n"/>
      <c r="C28" s="2" t="n"/>
    </row>
    <row r="29">
      <c r="A29" s="3" t="inlineStr">
        <is>
          <t>Passagem lenta</t>
        </is>
      </c>
      <c r="B29" s="2" t="n"/>
      <c r="C29" s="2" t="n"/>
    </row>
    <row r="30">
      <c r="A30" s="2" t="inlineStr">
        <is>
          <t>distancia_m</t>
        </is>
      </c>
      <c r="B30" s="2" t="inlineStr">
        <is>
          <t>passagens_detectadas_em_20</t>
        </is>
      </c>
      <c r="C30" s="2" t="inlineStr">
        <is>
          <t>taxa_%</t>
        </is>
      </c>
    </row>
    <row r="31">
      <c r="A31" s="7" t="n">
        <v>0.5</v>
      </c>
      <c r="B31" s="2" t="n">
        <v>20</v>
      </c>
      <c r="C31" s="7" t="n">
        <v>100</v>
      </c>
    </row>
    <row r="32">
      <c r="A32" s="7" t="n">
        <v>1</v>
      </c>
      <c r="B32" s="2" t="n">
        <v>19</v>
      </c>
      <c r="C32" s="7" t="n">
        <v>95</v>
      </c>
    </row>
    <row r="33">
      <c r="A33" s="7" t="n">
        <v>1.5</v>
      </c>
      <c r="B33" s="2" t="n">
        <v>16</v>
      </c>
      <c r="C33" s="7" t="n">
        <v>80</v>
      </c>
    </row>
    <row r="34">
      <c r="A34" s="7" t="n">
        <v>2</v>
      </c>
      <c r="B34" s="2" t="n">
        <v>10</v>
      </c>
      <c r="C34" s="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2026-07-07T13:32:00Z</dcterms:created>
  <dcterms:modified xmlns:dcterms="http://purl.org/dc/terms/" xmlns:xsi="http://www.w3.org/2001/XMLSchema-instance" xsi:type="dcterms:W3CDTF">2026-07-07T14:34:45Z</dcterms:modified>
  <cp:lastModifiedBy>Leonardo Teixeira Gomes Silva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8E557D19F53A437A93DAEB8DC42BD0F1_12</vt:lpwstr>
  </property>
  <property name="KSOProductBuildVer" fmtid="{D5CDD505-2E9C-101B-9397-08002B2CF9AE}" pid="3">
    <vt:lpwstr xmlns:vt="http://schemas.openxmlformats.org/officeDocument/2006/docPropsVTypes">1046-12.1.0.26880</vt:lpwstr>
  </property>
  <property name="CalculationRule" fmtid="{D5CDD505-2E9C-101B-9397-08002B2CF9AE}" pid="4">
    <vt:i4 xmlns:vt="http://schemas.openxmlformats.org/officeDocument/2006/docPropsVTypes">0</vt:i4>
  </property>
</Properties>
</file>